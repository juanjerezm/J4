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2"/>
  </bookViews>
  <sheets>
    <sheet name="FRANCE" sheetId="1" state="visible" r:id="rId1"/>
    <sheet name="DENMARK" sheetId="2" state="visible" r:id="rId2"/>
    <sheet name="GERMANY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<sst xmlns="http://schemas.openxmlformats.org/spreadsheetml/2006/main" count="124" uniqueCount="124">
  <si>
    <t xml:space="preserve">RELEVANT CONNECTION CATEGORES</t>
  </si>
  <si>
    <t xml:space="preserve">LOAD SIZE</t>
  </si>
  <si>
    <t xml:space="preserve">TENSION LEVEL</t>
  </si>
  <si>
    <t>TYPE</t>
  </si>
  <si>
    <t>SUBTYPE</t>
  </si>
  <si>
    <t>COMMENT</t>
  </si>
  <si>
    <t xml:space="preserve">&lt;10 MW</t>
  </si>
  <si>
    <t xml:space="preserve">20 kV</t>
  </si>
  <si>
    <t xml:space="preserve">HV-A 1</t>
  </si>
  <si>
    <t>LTU</t>
  </si>
  <si>
    <t xml:space="preserve">*Long-term usage, intended for baseline consumption patterns</t>
  </si>
  <si>
    <t xml:space="preserve">40 MW</t>
  </si>
  <si>
    <t xml:space="preserve">63 kV</t>
  </si>
  <si>
    <t xml:space="preserve">HV-B 1</t>
  </si>
  <si>
    <t>MTU</t>
  </si>
  <si>
    <t xml:space="preserve">*Medium-term usage, intended for intermediate consumption patterns</t>
  </si>
  <si>
    <t xml:space="preserve">60 MW</t>
  </si>
  <si>
    <t xml:space="preserve">90 kV</t>
  </si>
  <si>
    <t xml:space="preserve">80 MW</t>
  </si>
  <si>
    <t xml:space="preserve">TARIFF FORMULA (SIMPLIFIED)</t>
  </si>
  <si>
    <t xml:space="preserve">TARIFF COEFFICIENTS</t>
  </si>
  <si>
    <t>PERIOD</t>
  </si>
  <si>
    <t>DESCRIPTION</t>
  </si>
  <si>
    <r>
      <rPr>
        <b/>
        <sz val="11"/>
        <color theme="1"/>
        <rFont val="Calibri"/>
        <scheme val="minor"/>
      </rPr>
      <t xml:space="preserve">POWER COEFFICIENT (b</t>
    </r>
    <r>
      <rPr>
        <b/>
        <vertAlign val="subscript"/>
        <sz val="11"/>
        <color theme="1"/>
        <rFont val="Calibri"/>
        <scheme val="minor"/>
      </rPr>
      <t>i</t>
    </r>
    <r>
      <rPr>
        <b/>
        <sz val="11"/>
        <color theme="1"/>
        <rFont val="Calibri"/>
        <scheme val="minor"/>
      </rPr>
      <t xml:space="preserve">)
€/kW</t>
    </r>
  </si>
  <si>
    <r>
      <rPr>
        <b/>
        <sz val="11"/>
        <color theme="1"/>
        <rFont val="Calibri"/>
        <scheme val="minor"/>
      </rPr>
      <t xml:space="preserve">ENERGY COEFFICIENT (c</t>
    </r>
    <r>
      <rPr>
        <b/>
        <vertAlign val="subscript"/>
        <sz val="11"/>
        <color theme="1"/>
        <rFont val="Calibri"/>
        <scheme val="minor"/>
      </rPr>
      <t>i</t>
    </r>
    <r>
      <rPr>
        <b/>
        <sz val="11"/>
        <color theme="1"/>
        <rFont val="Calibri"/>
        <scheme val="minor"/>
      </rPr>
      <t xml:space="preserve">)
c€/kWh
</t>
    </r>
  </si>
  <si>
    <t xml:space="preserve">HVA-1 (LTU)</t>
  </si>
  <si>
    <t xml:space="preserve">HVB-1 (MTU)</t>
  </si>
  <si>
    <t>P1</t>
  </si>
  <si>
    <t xml:space="preserve">peak consumption</t>
  </si>
  <si>
    <t>P2</t>
  </si>
  <si>
    <t xml:space="preserve">high season (peak)</t>
  </si>
  <si>
    <t>P3</t>
  </si>
  <si>
    <t xml:space="preserve">high season (off-peak)</t>
  </si>
  <si>
    <t>P4</t>
  </si>
  <si>
    <t xml:space="preserve">low season (peak)</t>
  </si>
  <si>
    <t>P5</t>
  </si>
  <si>
    <t xml:space="preserve">low season (off-peak)</t>
  </si>
  <si>
    <t xml:space="preserve">TARIFF SCHEDULE (CAPACITY)</t>
  </si>
  <si>
    <t xml:space="preserve">TARIFF SCHEDULE</t>
  </si>
  <si>
    <r>
      <rPr>
        <sz val="11"/>
        <color theme="1"/>
        <rFont val="Calibri"/>
        <scheme val="minor"/>
      </rPr>
      <t xml:space="preserve">It is assumed that identical power is subscribed (</t>
    </r>
    <r>
      <rPr>
        <i/>
        <sz val="11"/>
        <color theme="1"/>
        <rFont val="Calibri"/>
        <scheme val="minor"/>
      </rPr>
      <t>PS</t>
    </r>
    <r>
      <rPr>
        <i/>
        <vertAlign val="subscript"/>
        <sz val="11"/>
        <color theme="1"/>
        <rFont val="Calibri"/>
        <scheme val="minor"/>
      </rPr>
      <t>i</t>
    </r>
    <r>
      <rPr>
        <sz val="11"/>
        <color theme="1"/>
        <rFont val="Calibri"/>
        <scheme val="minor"/>
      </rPr>
      <t xml:space="preserve">) at all intervals, to keep the calculation and model simple.</t>
    </r>
  </si>
  <si>
    <r>
      <rPr>
        <sz val="11"/>
        <color theme="1"/>
        <rFont val="Calibri"/>
        <scheme val="minor"/>
      </rPr>
      <t xml:space="preserve">In such a case, the only relevant term is b</t>
    </r>
    <r>
      <rPr>
        <vertAlign val="subscript"/>
        <sz val="11"/>
        <color theme="1"/>
        <rFont val="Calibri"/>
        <scheme val="minor"/>
      </rPr>
      <t>1</t>
    </r>
  </si>
  <si>
    <t>€/MW</t>
  </si>
  <si>
    <t xml:space="preserve">TARIFF SCHEDULE (VOLUMETRIC)</t>
  </si>
  <si>
    <t xml:space="preserve">There are different schedules for saturdays, sundays, and public holidays. These have been disregarded</t>
  </si>
  <si>
    <t>€/MWh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</si>
  <si>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</si>
  <si>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</si>
  <si>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</si>
  <si>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</si>
  <si>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</si>
  <si>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</si>
  <si>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</si>
  <si>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</si>
  <si>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</si>
  <si>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</si>
  <si>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</si>
  <si>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</si>
  <si>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00-01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</si>
  <si>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</si>
  <si>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</si>
  <si>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</si>
  <si>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</si>
  <si>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</si>
  <si>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</si>
  <si>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</si>
  <si>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</si>
  <si>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</si>
  <si>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</si>
  <si>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</si>
  <si>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</si>
  <si>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</si>
  <si>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</si>
  <si>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</si>
  <si>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</si>
  <si>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</si>
  <si>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</si>
  <si>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</si>
  <si>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</si>
  <si>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</si>
  <si>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</si>
  <si>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</si>
  <si>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 xml:space="preserve">Exchange rate</t>
  </si>
  <si>
    <t>EUR/DKK</t>
  </si>
  <si>
    <t>DKK/EUR</t>
  </si>
  <si>
    <t/>
  </si>
  <si>
    <t xml:space="preserve">RELEVANT CONNECTION CATEGORIES</t>
  </si>
  <si>
    <t xml:space="preserve">TARIFF TYPE</t>
  </si>
  <si>
    <t>A-lav</t>
  </si>
  <si>
    <t xml:space="preserve">50 kV</t>
  </si>
  <si>
    <t>A-høj</t>
  </si>
  <si>
    <t xml:space="preserve">132 kV</t>
  </si>
  <si>
    <t>A-høj+</t>
  </si>
  <si>
    <t xml:space="preserve">*Connected on the low-voltage busbar of a 132-150/30-60 kV station</t>
  </si>
  <si>
    <t xml:space="preserve">*Distribution volumetric tariff</t>
  </si>
  <si>
    <t xml:space="preserve">ENERGY COEFFICIENT
øre/kWh
</t>
  </si>
  <si>
    <t xml:space="preserve">low load (winter)</t>
  </si>
  <si>
    <t xml:space="preserve">high load (winter)</t>
  </si>
  <si>
    <t xml:space="preserve">peak load (winter)</t>
  </si>
  <si>
    <t xml:space="preserve">low load (summer)</t>
  </si>
  <si>
    <t xml:space="preserve">high load (summer)</t>
  </si>
  <si>
    <t>P6</t>
  </si>
  <si>
    <t xml:space="preserve">peak load (summer)</t>
  </si>
  <si>
    <t xml:space="preserve">*For some reason, this appears in the historic documents but not in the interactive navigation website</t>
  </si>
  <si>
    <t xml:space="preserve">*Distribution capacity tariff</t>
  </si>
  <si>
    <t>ITEM</t>
  </si>
  <si>
    <t>UNIT</t>
  </si>
  <si>
    <t>CATEGORY</t>
  </si>
  <si>
    <t>Effektbetaling</t>
  </si>
  <si>
    <t>DKK/kW</t>
  </si>
  <si>
    <t xml:space="preserve">*Transmission volumetric tariff</t>
  </si>
  <si>
    <t>Transmissionsnettarif</t>
  </si>
  <si>
    <t>øre/kWh</t>
  </si>
  <si>
    <t>Systemtarif</t>
  </si>
  <si>
    <t>Mittelspannung</t>
  </si>
  <si>
    <t xml:space="preserve">&gt; 2500 h/year</t>
  </si>
  <si>
    <t xml:space="preserve">*Intended for baseline loads</t>
  </si>
  <si>
    <t>Hochspannung</t>
  </si>
  <si>
    <t xml:space="preserve">&lt; 2500 h/year</t>
  </si>
  <si>
    <t xml:space="preserve">*Intended for peak loads</t>
  </si>
  <si>
    <t xml:space="preserve">TARIFF COEFFICIENT</t>
  </si>
  <si>
    <t xml:space="preserve">VOLUMETRIC
¢€/kWh</t>
  </si>
  <si>
    <t xml:space="preserve">CAPACITY
€/kW</t>
  </si>
  <si>
    <t xml:space="preserve">Mittelspannung (&gt;2500 h/year)</t>
  </si>
  <si>
    <t xml:space="preserve">Hochspannung (&lt;2500 h/year)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</si>
</sst>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0"/>
  </numFmts>
  <fonts count="5">
    <font>
      <sz val="11.000000"/>
      <color theme="1"/>
      <name val="Calibri"/>
      <scheme val="minor"/>
    </font>
    <font>
      <sz val="11.000000"/>
      <color theme="1" tint="0.499984740745262"/>
      <name val="Calibri"/>
      <scheme val="minor"/>
    </font>
    <font>
      <b/>
      <u/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i/>
      <sz val="11.000000"/>
      <color theme="1" tint="0.499984740745262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rgb="FF009E8F"/>
        <bgColor rgb="FF009E8F"/>
      </patternFill>
    </fill>
    <fill>
      <patternFill patternType="solid">
        <fgColor rgb="FFEC775C"/>
        <bgColor rgb="FFEC775C"/>
      </patternFill>
    </fill>
    <fill>
      <patternFill patternType="solid">
        <fgColor rgb="FF7D5A9F"/>
        <bgColor rgb="FF7D5A9F"/>
      </patternFill>
    </fill>
    <fill>
      <patternFill patternType="solid">
        <fgColor rgb="FFF7C9BE"/>
        <bgColor rgb="FFF7C9BE"/>
      </patternFill>
    </fill>
    <fill>
      <patternFill patternType="solid">
        <fgColor rgb="FFDC0058"/>
        <bgColor rgb="FFDC0058"/>
      </patternFill>
    </fill>
    <fill>
      <patternFill patternType="solid">
        <fgColor indexed="5"/>
        <bgColor indexed="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7" tint="0.59999389629810485"/>
        <bgColor theme="7" tint="0.59999389629810485"/>
      </patternFill>
    </fill>
  </fills>
  <borders count="16">
    <border>
      <left style="none"/>
      <right style="none"/>
      <top style="none"/>
      <bottom style="none"/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none"/>
      <right style="none"/>
      <top style="thin">
        <color theme="1"/>
      </top>
      <bottom style="none"/>
      <diagonal style="none"/>
    </border>
    <border>
      <left style="none"/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none"/>
      <right style="thin">
        <color theme="1"/>
      </right>
      <top style="none"/>
      <bottom style="none"/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none"/>
      <right style="none"/>
      <top style="none"/>
      <bottom style="thin">
        <color theme="1"/>
      </bottom>
      <diagonal style="none"/>
    </border>
    <border>
      <left style="none"/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none"/>
      <diagonal style="none"/>
    </border>
    <border>
      <left style="thin">
        <color theme="1"/>
      </left>
      <right style="thin">
        <color theme="1"/>
      </right>
      <top style="none"/>
      <bottom style="none"/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none"/>
      <right style="none"/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none"/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6">
    <xf fontId="0" fillId="0" borderId="0" numFmtId="0" xfId="0"/>
    <xf fontId="1" fillId="2" borderId="0" numFmtId="0" xfId="0" applyFont="1" applyFill="1"/>
    <xf fontId="2" fillId="2" borderId="0" numFmtId="0" xfId="0" applyFont="1" applyFill="1"/>
    <xf fontId="1" fillId="2" borderId="0" numFmtId="0" xfId="0" applyFont="1" applyFill="1">
      <protection hidden="0" locked="1"/>
    </xf>
    <xf fontId="0" fillId="0" borderId="0" numFmtId="0" xfId="0">
      <protection hidden="0" locked="1"/>
    </xf>
    <xf fontId="3" fillId="0" borderId="1" numFmtId="0" xfId="0" applyFont="1" applyBorder="1" applyAlignment="1">
      <alignment horizontal="center"/>
      <protection hidden="0" locked="1"/>
    </xf>
    <xf fontId="3" fillId="0" borderId="2" numFmtId="0" xfId="0" applyFont="1" applyBorder="1" applyAlignment="1">
      <alignment horizontal="center"/>
      <protection hidden="0" locked="1"/>
    </xf>
    <xf fontId="3" fillId="0" borderId="3" numFmtId="0" xfId="0" applyFont="1" applyBorder="1" applyAlignment="1">
      <alignment horizontal="center"/>
      <protection hidden="0" locked="1"/>
    </xf>
    <xf fontId="3" fillId="0" borderId="0" numFmtId="0" xfId="0" applyFont="1">
      <protection hidden="0" locked="1"/>
    </xf>
    <xf fontId="0" fillId="0" borderId="4" numFmtId="0" xfId="0" applyBorder="1" applyAlignment="1">
      <alignment horizontal="center"/>
      <protection hidden="0" locked="1"/>
    </xf>
    <xf fontId="0" fillId="0" borderId="0" numFmtId="0" xfId="0" applyAlignment="1">
      <alignment horizontal="center"/>
      <protection hidden="0" locked="1"/>
    </xf>
    <xf fontId="0" fillId="0" borderId="0" numFmtId="0" xfId="0" applyAlignment="1">
      <alignment horizontal="center"/>
    </xf>
    <xf fontId="0" fillId="0" borderId="5" numFmtId="0" xfId="0" applyBorder="1" applyAlignment="1">
      <alignment horizontal="center"/>
    </xf>
    <xf fontId="4" fillId="0" borderId="0" numFmtId="0" xfId="0" applyFont="1"/>
    <xf fontId="0" fillId="0" borderId="6" numFmtId="0" xfId="0" applyBorder="1" applyAlignment="1">
      <alignment horizontal="center"/>
      <protection hidden="0" locked="1"/>
    </xf>
    <xf fontId="0" fillId="0" borderId="7" numFmtId="0" xfId="0" applyBorder="1" applyAlignment="1">
      <alignment horizontal="center"/>
      <protection hidden="0" locked="1"/>
    </xf>
    <xf fontId="0" fillId="0" borderId="8" numFmtId="0" xfId="0" applyBorder="1" applyAlignment="1">
      <alignment horizontal="center"/>
    </xf>
    <xf fontId="0" fillId="2" borderId="0" numFmtId="0" xfId="0" applyFill="1"/>
    <xf fontId="3" fillId="2" borderId="0" numFmtId="0" xfId="0" applyFont="1" applyFill="1"/>
    <xf fontId="0" fillId="0" borderId="0" numFmtId="0" xfId="0" applyAlignment="1">
      <alignment horizontal="left"/>
    </xf>
    <xf fontId="3" fillId="0" borderId="1" numFmtId="0" xfId="0" applyFont="1" applyBorder="1" applyAlignment="1">
      <alignment horizontal="center" vertical="top"/>
    </xf>
    <xf fontId="3" fillId="0" borderId="2" numFmtId="0" xfId="0" applyFont="1" applyBorder="1" applyAlignment="1">
      <alignment horizontal="center" vertical="top"/>
    </xf>
    <xf fontId="3" fillId="0" borderId="2" numFmtId="0" xfId="0" applyFont="1" applyBorder="1" applyAlignment="1">
      <alignment horizontal="center" vertical="top" wrapText="1"/>
    </xf>
    <xf fontId="3" fillId="0" borderId="3" numFmtId="0" xfId="0" applyFont="1" applyBorder="1" applyAlignment="1">
      <alignment horizontal="center" vertical="top" wrapText="1"/>
    </xf>
    <xf fontId="3" fillId="0" borderId="6" numFmtId="0" xfId="0" applyFont="1" applyBorder="1" applyAlignment="1">
      <alignment horizontal="center" vertical="top"/>
    </xf>
    <xf fontId="3" fillId="0" borderId="7" numFmtId="0" xfId="0" applyFont="1" applyBorder="1" applyAlignment="1">
      <alignment horizontal="center" vertical="top"/>
    </xf>
    <xf fontId="3" fillId="0" borderId="7" numFmtId="0" xfId="0" applyFont="1" applyBorder="1" applyAlignment="1">
      <alignment horizontal="center"/>
    </xf>
    <xf fontId="3" fillId="0" borderId="8" numFmtId="0" xfId="0" applyFont="1" applyBorder="1" applyAlignment="1">
      <alignment horizontal="center"/>
    </xf>
    <xf fontId="3" fillId="0" borderId="4" numFmtId="0" xfId="0" applyFont="1" applyBorder="1"/>
    <xf fontId="0" fillId="0" borderId="0" numFmtId="0" xfId="0"/>
    <xf fontId="0" fillId="0" borderId="0" numFmtId="2" xfId="0" applyNumberFormat="1">
      <protection hidden="0" locked="1"/>
    </xf>
    <xf fontId="0" fillId="0" borderId="5" numFmtId="0" xfId="0" applyBorder="1">
      <protection hidden="0" locked="1"/>
    </xf>
    <xf fontId="0" fillId="0" borderId="5" numFmtId="0" xfId="0" applyBorder="1"/>
    <xf fontId="3" fillId="0" borderId="6" numFmtId="0" xfId="0" applyFont="1" applyBorder="1"/>
    <xf fontId="0" fillId="0" borderId="7" numFmtId="0" xfId="0" applyBorder="1"/>
    <xf fontId="0" fillId="0" borderId="7" numFmtId="0" xfId="0" applyBorder="1">
      <protection hidden="0" locked="1"/>
    </xf>
    <xf fontId="0" fillId="0" borderId="7" numFmtId="2" xfId="0" applyNumberFormat="1" applyBorder="1">
      <protection hidden="0" locked="1"/>
    </xf>
    <xf fontId="0" fillId="0" borderId="8" numFmtId="0" xfId="0" applyBorder="1">
      <protection hidden="0" locked="1"/>
    </xf>
    <xf fontId="3" fillId="0" borderId="1" numFmtId="0" xfId="0" applyFont="1" applyBorder="1"/>
    <xf fontId="0" fillId="0" borderId="2" numFmtId="0" xfId="0" applyBorder="1"/>
    <xf fontId="0" fillId="0" borderId="3" numFmtId="0" xfId="0" applyBorder="1" applyAlignment="1">
      <alignment horizontal="right"/>
    </xf>
    <xf fontId="0" fillId="0" borderId="8" numFmtId="0" xfId="0" applyBorder="1" applyAlignment="1">
      <alignment horizontal="right"/>
    </xf>
    <xf fontId="3" fillId="0" borderId="1" numFmtId="0" xfId="0" applyFont="1" applyBorder="1" applyAlignment="1">
      <alignment horizontal="center"/>
    </xf>
    <xf fontId="3" fillId="0" borderId="3" numFmtId="0" xfId="0" applyFont="1" applyBorder="1" applyAlignment="1">
      <alignment horizontal="center"/>
    </xf>
    <xf fontId="3" fillId="0" borderId="6" numFmtId="0" xfId="0" applyFont="1" applyBorder="1" applyAlignment="1">
      <alignment horizontal="center"/>
    </xf>
    <xf fontId="3" fillId="0" borderId="9" numFmtId="0" xfId="0" applyFont="1" applyBorder="1" applyAlignment="1">
      <alignment horizontal="center"/>
    </xf>
    <xf fontId="0" fillId="0" borderId="2" numFmtId="164" xfId="0" applyNumberFormat="1" applyBorder="1"/>
    <xf fontId="0" fillId="0" borderId="3" numFmtId="0" xfId="0" applyBorder="1"/>
    <xf fontId="3" fillId="0" borderId="10" numFmtId="0" xfId="0" applyFont="1" applyBorder="1" applyAlignment="1">
      <alignment horizontal="center"/>
    </xf>
    <xf fontId="0" fillId="0" borderId="0" numFmtId="164" xfId="0" applyNumberFormat="1"/>
    <xf fontId="3" fillId="0" borderId="11" numFmtId="0" xfId="0" applyFont="1" applyBorder="1" applyAlignment="1">
      <alignment horizontal="center"/>
    </xf>
    <xf fontId="0" fillId="0" borderId="7" numFmtId="164" xfId="0" applyNumberFormat="1" applyBorder="1"/>
    <xf fontId="0" fillId="0" borderId="8" numFmtId="0" xfId="0" applyBorder="1"/>
    <xf fontId="2" fillId="0" borderId="0" numFmtId="0" xfId="0" applyFont="1" applyAlignment="1">
      <alignment horizontal="center"/>
    </xf>
    <xf fontId="0" fillId="0" borderId="12" numFmtId="0" xfId="0" applyBorder="1"/>
    <xf fontId="3" fillId="0" borderId="12" numFmtId="0" xfId="0" applyFont="1" applyBorder="1" applyAlignment="1">
      <alignment horizontal="center"/>
    </xf>
    <xf fontId="3" fillId="0" borderId="0" numFmtId="49" xfId="0" applyNumberFormat="1" applyFont="1" applyAlignment="1">
      <alignment horizontal="center"/>
    </xf>
    <xf fontId="0" fillId="3" borderId="0" numFmtId="2" xfId="0" applyNumberFormat="1" applyFill="1"/>
    <xf fontId="0" fillId="4" borderId="0" numFmtId="2" xfId="0" applyNumberFormat="1" applyFill="1"/>
    <xf fontId="0" fillId="3" borderId="0" numFmtId="2" xfId="0" applyNumberFormat="1" applyFill="1">
      <protection hidden="0" locked="1"/>
    </xf>
    <xf fontId="0" fillId="5" borderId="0" numFmtId="2" xfId="0" applyNumberFormat="1" applyFill="1"/>
    <xf fontId="0" fillId="5" borderId="0" numFmtId="2" xfId="0" applyNumberFormat="1" applyFill="1">
      <protection hidden="0" locked="1"/>
    </xf>
    <xf fontId="0" fillId="6" borderId="0" numFmtId="2" xfId="0" applyNumberFormat="1" applyFill="1"/>
    <xf fontId="0" fillId="7" borderId="0" numFmtId="2" xfId="0" applyNumberFormat="1" applyFill="1"/>
    <xf fontId="0" fillId="7" borderId="0" numFmtId="2" xfId="0" applyNumberFormat="1" applyFill="1">
      <protection hidden="0" locked="1"/>
    </xf>
    <xf fontId="3" fillId="0" borderId="7" numFmtId="49" xfId="0" applyNumberFormat="1" applyFont="1" applyBorder="1" applyAlignment="1">
      <alignment horizontal="center"/>
    </xf>
    <xf fontId="0" fillId="3" borderId="7" numFmtId="2" xfId="0" applyNumberFormat="1" applyFill="1" applyBorder="1"/>
    <xf fontId="0" fillId="4" borderId="7" numFmtId="2" xfId="0" applyNumberFormat="1" applyFill="1" applyBorder="1"/>
    <xf fontId="0" fillId="3" borderId="7" numFmtId="2" xfId="0" applyNumberFormat="1" applyFill="1" applyBorder="1">
      <protection hidden="0" locked="1"/>
    </xf>
    <xf fontId="0" fillId="0" borderId="13" numFmtId="0" xfId="0" applyBorder="1">
      <protection hidden="0" locked="1"/>
    </xf>
    <xf fontId="3" fillId="0" borderId="14" numFmtId="0" xfId="0" applyFont="1" applyBorder="1" applyAlignment="1">
      <alignment horizontal="center"/>
    </xf>
    <xf fontId="3" fillId="0" borderId="10" numFmtId="49" xfId="0" applyNumberFormat="1" applyFont="1" applyBorder="1" applyAlignment="1">
      <alignment horizontal="center"/>
    </xf>
    <xf fontId="0" fillId="3" borderId="1" numFmtId="2" xfId="0" applyNumberFormat="1" applyFill="1" applyBorder="1"/>
    <xf fontId="0" fillId="3" borderId="2" numFmtId="2" xfId="0" applyNumberFormat="1" applyFill="1" applyBorder="1"/>
    <xf fontId="0" fillId="4" borderId="2" numFmtId="2" xfId="0" applyNumberFormat="1" applyFill="1" applyBorder="1"/>
    <xf fontId="0" fillId="3" borderId="3" numFmtId="2" xfId="0" applyNumberFormat="1" applyFill="1" applyBorder="1"/>
    <xf fontId="0" fillId="3" borderId="4" numFmtId="2" xfId="0" applyNumberFormat="1" applyFill="1" applyBorder="1"/>
    <xf fontId="0" fillId="3" borderId="5" numFmtId="2" xfId="0" applyNumberFormat="1" applyFill="1" applyBorder="1"/>
    <xf fontId="0" fillId="5" borderId="4" numFmtId="2" xfId="0" applyNumberFormat="1" applyFill="1" applyBorder="1"/>
    <xf fontId="0" fillId="5" borderId="5" numFmtId="2" xfId="0" applyNumberFormat="1" applyFill="1" applyBorder="1"/>
    <xf fontId="0" fillId="7" borderId="4" numFmtId="2" xfId="0" applyNumberFormat="1" applyFill="1" applyBorder="1"/>
    <xf fontId="0" fillId="7" borderId="5" numFmtId="2" xfId="0" applyNumberFormat="1" applyFill="1" applyBorder="1"/>
    <xf fontId="3" fillId="0" borderId="11" numFmtId="49" xfId="0" applyNumberFormat="1" applyFont="1" applyBorder="1" applyAlignment="1">
      <alignment horizontal="center"/>
    </xf>
    <xf fontId="0" fillId="3" borderId="6" numFmtId="2" xfId="0" applyNumberFormat="1" applyFill="1" applyBorder="1"/>
    <xf fontId="0" fillId="3" borderId="8" numFmtId="2" xfId="0" applyNumberFormat="1" applyFill="1" applyBorder="1"/>
    <xf fontId="3" fillId="0" borderId="9" numFmtId="0" xfId="0" applyFont="1" applyBorder="1" applyAlignment="1">
      <alignment horizontal="left" vertical="center"/>
    </xf>
    <xf fontId="0" fillId="0" borderId="1" numFmtId="165" xfId="0" applyNumberFormat="1" applyBorder="1" applyAlignment="1">
      <alignment vertical="center"/>
    </xf>
    <xf fontId="0" fillId="0" borderId="3" numFmtId="0" xfId="0" applyBorder="1" applyAlignment="1">
      <alignment horizontal="right" vertical="center"/>
    </xf>
    <xf fontId="3" fillId="0" borderId="11" numFmtId="0" xfId="0" applyFont="1" applyBorder="1" applyAlignment="1">
      <alignment horizontal="left" vertical="center"/>
    </xf>
    <xf fontId="0" fillId="0" borderId="6" numFmtId="165" xfId="0" applyNumberFormat="1" applyBorder="1" applyAlignment="1">
      <alignment vertical="center"/>
    </xf>
    <xf fontId="0" fillId="0" borderId="8" numFmtId="0" xfId="0" applyBorder="1" applyAlignment="1">
      <alignment horizontal="right" vertical="center"/>
    </xf>
    <xf fontId="0" fillId="0" borderId="0" numFmtId="0" xfId="0" quotePrefix="1"/>
    <xf fontId="0" fillId="0" borderId="8" numFmtId="0" xfId="0" applyBorder="1" applyAlignment="1">
      <alignment horizontal="center"/>
      <protection hidden="0" locked="1"/>
    </xf>
    <xf fontId="3" fillId="0" borderId="0" numFmtId="0" xfId="0" applyFont="1" applyAlignment="1">
      <alignment vertical="top" wrapText="1"/>
    </xf>
    <xf fontId="3" fillId="0" borderId="7" numFmtId="0" xfId="0" applyFont="1" applyBorder="1" applyAlignment="1">
      <alignment horizontal="center" vertical="center"/>
    </xf>
    <xf fontId="3" fillId="0" borderId="8" numFmtId="0" xfId="0" applyFont="1" applyBorder="1" applyAlignment="1">
      <alignment horizontal="center" vertical="center"/>
      <protection hidden="0" locked="1"/>
    </xf>
    <xf fontId="3" fillId="0" borderId="4" numFmtId="0" xfId="0" applyFont="1" applyBorder="1" applyAlignment="1">
      <alignment horizontal="center"/>
    </xf>
    <xf fontId="0" fillId="8" borderId="7" numFmtId="2" xfId="0" applyNumberFormat="1" applyFill="1" applyBorder="1">
      <protection hidden="0" locked="1"/>
    </xf>
    <xf fontId="0" fillId="8" borderId="7" numFmtId="0" xfId="0" applyFill="1" applyBorder="1">
      <protection hidden="0" locked="1"/>
    </xf>
    <xf fontId="0" fillId="8" borderId="8" numFmtId="0" xfId="0" applyFill="1" applyBorder="1">
      <protection hidden="0" locked="1"/>
    </xf>
    <xf fontId="3" fillId="0" borderId="2" numFmtId="0" xfId="0" applyFont="1" applyBorder="1" applyAlignment="1">
      <alignment horizontal="center" wrapText="1"/>
    </xf>
    <xf fontId="3" fillId="0" borderId="2" numFmtId="0" xfId="0" applyFont="1" applyBorder="1" applyAlignment="1">
      <alignment horizontal="center"/>
    </xf>
    <xf fontId="3" fillId="0" borderId="0" numFmtId="0" xfId="0" applyFont="1" applyAlignment="1">
      <alignment horizontal="center" vertical="top"/>
    </xf>
    <xf fontId="3" fillId="0" borderId="0" numFmtId="0" xfId="0" applyFont="1" applyAlignment="1">
      <alignment horizontal="center" vertical="center"/>
    </xf>
    <xf fontId="3" fillId="0" borderId="0" numFmtId="0" xfId="0" applyFont="1" applyAlignment="1">
      <alignment horizontal="center" vertical="center"/>
      <protection hidden="0" locked="1"/>
    </xf>
    <xf fontId="3" fillId="0" borderId="12" numFmtId="0" xfId="0" applyFont="1" applyBorder="1"/>
    <xf fontId="0" fillId="0" borderId="12" numFmtId="0" xfId="0" applyBorder="1" applyAlignment="1">
      <alignment horizontal="right"/>
    </xf>
    <xf fontId="3" fillId="0" borderId="0" numFmtId="0" xfId="0" applyFont="1" applyAlignment="1">
      <alignment horizontal="center"/>
    </xf>
    <xf fontId="3" fillId="0" borderId="2" numFmtId="0" xfId="0" applyFont="1" applyBorder="1"/>
    <xf fontId="0" fillId="0" borderId="2" numFmtId="0" xfId="0" applyBorder="1" applyAlignment="1">
      <alignment horizontal="right"/>
    </xf>
    <xf fontId="0" fillId="0" borderId="2" numFmtId="2" xfId="0" applyNumberFormat="1" applyBorder="1"/>
    <xf fontId="0" fillId="0" borderId="0" numFmtId="0" xfId="0" applyAlignment="1">
      <alignment vertical="center" wrapText="1"/>
    </xf>
    <xf fontId="3" fillId="0" borderId="7" numFmtId="0" xfId="0" applyFont="1" applyBorder="1"/>
    <xf fontId="0" fillId="0" borderId="7" numFmtId="0" xfId="0" applyBorder="1" applyAlignment="1">
      <alignment horizontal="right"/>
    </xf>
    <xf fontId="0" fillId="0" borderId="7" numFmtId="2" xfId="0" applyNumberFormat="1" applyBorder="1"/>
    <xf fontId="3" fillId="9" borderId="2" numFmtId="0" xfId="0" applyFont="1" applyFill="1" applyBorder="1" applyAlignment="1">
      <alignment horizontal="center"/>
    </xf>
    <xf fontId="0" fillId="9" borderId="2" numFmtId="2" xfId="0" applyNumberFormat="1" applyFill="1" applyBorder="1"/>
    <xf fontId="3" fillId="10" borderId="0" numFmtId="0" xfId="0" applyFont="1" applyFill="1" applyAlignment="1">
      <alignment horizontal="center"/>
    </xf>
    <xf fontId="0" fillId="10" borderId="0" numFmtId="2" xfId="0" applyNumberFormat="1" applyFill="1"/>
    <xf fontId="3" fillId="11" borderId="0" numFmtId="0" xfId="0" applyFont="1" applyFill="1" applyAlignment="1">
      <alignment horizontal="center"/>
    </xf>
    <xf fontId="0" fillId="11" borderId="0" numFmtId="2" xfId="0" applyNumberFormat="1" applyFill="1"/>
    <xf fontId="3" fillId="12" borderId="0" numFmtId="0" xfId="0" applyFont="1" applyFill="1" applyAlignment="1">
      <alignment horizontal="center"/>
    </xf>
    <xf fontId="0" fillId="12" borderId="0" numFmtId="2" xfId="0" applyNumberFormat="1" applyFill="1"/>
    <xf fontId="3" fillId="13" borderId="0" numFmtId="0" xfId="0" applyFont="1" applyFill="1" applyAlignment="1">
      <alignment horizontal="center"/>
    </xf>
    <xf fontId="0" fillId="13" borderId="0" numFmtId="2" xfId="0" applyNumberFormat="1" applyFill="1"/>
    <xf fontId="3" fillId="8" borderId="7" numFmtId="0" xfId="0" applyFont="1" applyFill="1" applyBorder="1" applyAlignment="1">
      <alignment horizontal="center"/>
    </xf>
    <xf fontId="0" fillId="8" borderId="7" numFmtId="2" xfId="0" applyNumberFormat="1" applyFill="1" applyBorder="1"/>
    <xf fontId="2" fillId="0" borderId="7" numFmtId="0" xfId="0" applyFont="1" applyBorder="1" applyAlignment="1">
      <alignment horizontal="center"/>
    </xf>
    <xf fontId="3" fillId="0" borderId="1" numFmtId="49" xfId="0" applyNumberFormat="1" applyFont="1" applyBorder="1" applyAlignment="1">
      <alignment horizontal="center"/>
    </xf>
    <xf fontId="0" fillId="9" borderId="1" numFmtId="2" xfId="0" applyNumberFormat="1" applyFill="1" applyBorder="1"/>
    <xf fontId="0" fillId="12" borderId="2" numFmtId="2" xfId="0" applyNumberFormat="1" applyFill="1" applyBorder="1"/>
    <xf fontId="0" fillId="9" borderId="3" numFmtId="2" xfId="0" applyNumberFormat="1" applyFill="1" applyBorder="1"/>
    <xf fontId="3" fillId="0" borderId="4" numFmtId="49" xfId="0" applyNumberFormat="1" applyFont="1" applyBorder="1" applyAlignment="1">
      <alignment horizontal="center"/>
    </xf>
    <xf fontId="0" fillId="9" borderId="4" numFmtId="2" xfId="0" applyNumberFormat="1" applyFill="1" applyBorder="1"/>
    <xf fontId="0" fillId="9" borderId="0" numFmtId="2" xfId="0" applyNumberFormat="1" applyFill="1"/>
    <xf fontId="0" fillId="9" borderId="5" numFmtId="2" xfId="0" applyNumberFormat="1" applyFill="1" applyBorder="1"/>
    <xf fontId="0" fillId="11" borderId="4" numFmtId="2" xfId="0" applyNumberFormat="1" applyFill="1" applyBorder="1"/>
    <xf fontId="0" fillId="11" borderId="5" numFmtId="2" xfId="0" applyNumberFormat="1" applyFill="1" applyBorder="1"/>
    <xf fontId="0" fillId="10" borderId="4" numFmtId="2" xfId="0" applyNumberFormat="1" applyFill="1" applyBorder="1"/>
    <xf fontId="0" fillId="10" borderId="5" numFmtId="2" xfId="0" applyNumberFormat="1" applyFill="1" applyBorder="1"/>
    <xf fontId="3" fillId="0" borderId="6" numFmtId="49" xfId="0" applyNumberFormat="1" applyFont="1" applyBorder="1" applyAlignment="1">
      <alignment horizontal="center"/>
    </xf>
    <xf fontId="0" fillId="10" borderId="6" numFmtId="2" xfId="0" applyNumberFormat="1" applyFill="1" applyBorder="1"/>
    <xf fontId="0" fillId="10" borderId="7" numFmtId="2" xfId="0" applyNumberFormat="1" applyFill="1" applyBorder="1"/>
    <xf fontId="0" fillId="13" borderId="7" numFmtId="2" xfId="0" applyNumberFormat="1" applyFill="1" applyBorder="1"/>
    <xf fontId="0" fillId="10" borderId="8" numFmtId="2" xfId="0" applyNumberFormat="1" applyFill="1" applyBorder="1"/>
    <xf fontId="3" fillId="0" borderId="15" numFmtId="0" xfId="0" applyFont="1" applyBorder="1" applyAlignment="1">
      <alignment horizontal="center"/>
    </xf>
    <xf fontId="3" fillId="0" borderId="9" numFmtId="49" xfId="0" applyNumberFormat="1" applyFont="1" applyBorder="1" applyAlignment="1">
      <alignment horizontal="center"/>
    </xf>
    <xf fontId="3" fillId="0" borderId="12" numFmtId="0" xfId="0" applyFont="1" applyBorder="1" applyAlignment="1">
      <alignment horizontal="center"/>
      <protection hidden="0" locked="1"/>
    </xf>
    <xf fontId="3" fillId="0" borderId="12" numFmtId="0" xfId="0" applyFont="1" applyBorder="1">
      <protection hidden="0" locked="1"/>
    </xf>
    <xf fontId="0" fillId="0" borderId="7" numFmtId="0" xfId="0" applyBorder="1" applyAlignment="1">
      <alignment horizontal="center"/>
    </xf>
    <xf fontId="4" fillId="0" borderId="7" numFmtId="0" xfId="0" applyFont="1" applyBorder="1"/>
    <xf fontId="3" fillId="0" borderId="7" numFmtId="0" xfId="0" applyFont="1" applyBorder="1" applyAlignment="1">
      <alignment horizontal="center" vertical="center"/>
      <protection hidden="0" locked="1"/>
    </xf>
    <xf fontId="3" fillId="0" borderId="7" numFmtId="0" xfId="0" applyFont="1" applyBorder="1" applyAlignment="1">
      <alignment horizontal="center" vertical="center" wrapText="1"/>
    </xf>
    <xf fontId="0" fillId="9" borderId="6" numFmtId="2" xfId="0" applyNumberFormat="1" applyFill="1" applyBorder="1"/>
    <xf fontId="0" fillId="9" borderId="7" numFmtId="2" xfId="0" applyNumberFormat="1" applyFill="1" applyBorder="1"/>
    <xf fontId="0" fillId="9" borderId="8" numFmtId="2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0</xdr:col>
      <xdr:colOff>611187</xdr:colOff>
      <xdr:row>14</xdr:row>
      <xdr:rowOff>0</xdr:rowOff>
    </xdr:from>
    <xdr:ext cx="4350281" cy="1055686"/>
    <xdr:pic>
      <xdr:nvPicPr>
        <xdr:cNvPr id="1439706850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609599" y="2533649"/>
          <a:ext cx="4350281" cy="1055686"/>
        </a:xfrm>
        <a:prstGeom prst="rect">
          <a:avLst/>
        </a:prstGeom>
      </xdr:spPr>
    </xdr:pic>
    <xdr:clientData/>
  </xdr:oneCellAnchor>
  <xdr:oneCellAnchor>
    <xdr:from>
      <xdr:col>5</xdr:col>
      <xdr:colOff>1047749</xdr:colOff>
      <xdr:row>14</xdr:row>
      <xdr:rowOff>176892</xdr:rowOff>
    </xdr:from>
    <xdr:ext cx="10164534" cy="727290"/>
    <xdr:pic>
      <xdr:nvPicPr>
        <xdr:cNvPr id="2037993658" name=""/>
        <xdr:cNvPicPr>
          <a:picLocks noChangeAspect="1"/>
        </xdr:cNvPicPr>
      </xdr:nvPicPr>
      <xdr:blipFill rotWithShape="1">
        <a:blip r:embed="rId2"/>
        <a:stretch/>
      </xdr:blipFill>
      <xdr:spPr bwMode="auto">
        <a:xfrm flipH="0" flipV="0">
          <a:off x="6181724" y="2710542"/>
          <a:ext cx="10164534" cy="727290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47" zoomScale="100" workbookViewId="0">
      <selection activeCell="A1" activeCellId="0" sqref="A1"/>
    </sheetView>
  </sheetViews>
  <sheetFormatPr defaultRowHeight="14.25"/>
  <cols>
    <col customWidth="1" min="2" max="2" width="15.7109375"/>
    <col customWidth="1" min="3" max="3" width="20.7109375"/>
    <col customWidth="1" min="4" max="7" width="15.7109375"/>
    <col customWidth="1" min="14" max="14" width="20.7109375"/>
    <col customWidth="1" min="15" max="18" width="15.7109375"/>
  </cols>
  <sheetData>
    <row r="3" s="1" customFormat="1" ht="14.25">
      <c r="B3" s="2" t="s">
        <v>0</v>
      </c>
      <c r="C3" s="3"/>
      <c r="D3" s="3"/>
      <c r="E3" s="1"/>
      <c r="F3" s="3"/>
      <c r="G3" s="3"/>
    </row>
    <row r="4" ht="14.25">
      <c r="B4" s="4"/>
      <c r="C4" s="4"/>
      <c r="D4" s="4"/>
      <c r="E4" s="4"/>
      <c r="F4" s="4"/>
      <c r="G4" s="4"/>
    </row>
    <row r="5" ht="14.25">
      <c r="B5" s="5" t="s">
        <v>1</v>
      </c>
      <c r="C5" s="6" t="s">
        <v>2</v>
      </c>
      <c r="D5" s="6" t="s">
        <v>3</v>
      </c>
      <c r="E5" s="7" t="s">
        <v>4</v>
      </c>
      <c r="F5" s="8" t="s">
        <v>5</v>
      </c>
      <c r="G5" s="4"/>
    </row>
    <row r="6" ht="14.25">
      <c r="B6" s="9" t="s">
        <v>6</v>
      </c>
      <c r="C6" s="10" t="s">
        <v>7</v>
      </c>
      <c r="D6" s="11" t="s">
        <v>8</v>
      </c>
      <c r="E6" s="12" t="s">
        <v>9</v>
      </c>
      <c r="F6" s="13" t="s">
        <v>10</v>
      </c>
    </row>
    <row r="7" ht="14.25"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</row>
    <row r="8" ht="14.25">
      <c r="B8" s="9" t="s">
        <v>16</v>
      </c>
      <c r="C8" s="10" t="s">
        <v>17</v>
      </c>
      <c r="D8" s="11" t="s">
        <v>13</v>
      </c>
      <c r="E8" s="12" t="s">
        <v>14</v>
      </c>
    </row>
    <row r="9" ht="14.25">
      <c r="B9" s="14" t="s">
        <v>18</v>
      </c>
      <c r="C9" s="15" t="s">
        <v>17</v>
      </c>
      <c r="D9" s="15" t="s">
        <v>13</v>
      </c>
      <c r="E9" s="16" t="s">
        <v>14</v>
      </c>
    </row>
    <row r="12" s="17" customFormat="1" ht="14.25">
      <c r="A12" s="17"/>
      <c r="B12" s="2" t="s">
        <v>19</v>
      </c>
      <c r="C12" s="18"/>
      <c r="D12" s="18"/>
      <c r="E12" s="18"/>
      <c r="F12" s="18"/>
      <c r="G12" s="18"/>
      <c r="H12" s="18"/>
      <c r="I12" s="18"/>
      <c r="M12" s="17"/>
      <c r="N12" s="17"/>
      <c r="O12" s="17"/>
      <c r="P12" s="17"/>
      <c r="Q12" s="17"/>
      <c r="R12" s="17"/>
    </row>
    <row r="16" ht="14.25">
      <c r="B16" s="19"/>
    </row>
    <row r="23" s="17" customFormat="1" ht="14.25">
      <c r="B23" s="2" t="s">
        <v>20</v>
      </c>
      <c r="D23" s="17"/>
      <c r="E23" s="17"/>
      <c r="F23" s="17"/>
      <c r="G23" s="17"/>
      <c r="H23" s="17"/>
    </row>
    <row r="25" ht="30" customHeight="1">
      <c r="B25" s="20" t="s">
        <v>21</v>
      </c>
      <c r="C25" s="21" t="s">
        <v>22</v>
      </c>
      <c r="D25" s="22" t="s">
        <v>23</v>
      </c>
      <c r="E25" s="22"/>
      <c r="F25" s="22" t="s">
        <v>24</v>
      </c>
      <c r="G25" s="23"/>
    </row>
    <row r="26" ht="14.25">
      <c r="B26" s="24"/>
      <c r="C26" s="25"/>
      <c r="D26" s="26" t="s">
        <v>25</v>
      </c>
      <c r="E26" s="26" t="s">
        <v>26</v>
      </c>
      <c r="F26" s="26" t="s">
        <v>25</v>
      </c>
      <c r="G26" s="27" t="s">
        <v>26</v>
      </c>
    </row>
    <row r="27" ht="14.25">
      <c r="B27" s="28" t="s">
        <v>27</v>
      </c>
      <c r="C27" s="29" t="s">
        <v>28</v>
      </c>
      <c r="D27" s="4">
        <v>35.329999999999998</v>
      </c>
      <c r="E27" s="4">
        <v>13.44</v>
      </c>
      <c r="F27" s="30">
        <v>2.6499999999999999</v>
      </c>
      <c r="G27" s="31">
        <v>2.02</v>
      </c>
    </row>
    <row r="28" ht="14.25">
      <c r="B28" s="28" t="s">
        <v>29</v>
      </c>
      <c r="C28" t="s">
        <v>30</v>
      </c>
      <c r="D28" s="30">
        <v>32.299999999999997</v>
      </c>
      <c r="E28" s="4">
        <v>13.199999999999999</v>
      </c>
      <c r="F28" s="30">
        <v>2.1000000000000001</v>
      </c>
      <c r="G28" s="31">
        <v>1.79</v>
      </c>
    </row>
    <row r="29" ht="14.25">
      <c r="B29" s="28" t="s">
        <v>31</v>
      </c>
      <c r="C29" t="s">
        <v>32</v>
      </c>
      <c r="D29" s="4">
        <v>20.390000000000001</v>
      </c>
      <c r="E29" s="4">
        <v>12.48</v>
      </c>
      <c r="F29" s="30">
        <v>1.47</v>
      </c>
      <c r="G29" s="32">
        <v>1.45</v>
      </c>
      <c r="H29" s="4"/>
    </row>
    <row r="30" ht="14.25">
      <c r="B30" s="28" t="s">
        <v>33</v>
      </c>
      <c r="C30" t="s">
        <v>34</v>
      </c>
      <c r="D30" s="4">
        <v>14.33</v>
      </c>
      <c r="E30" s="4">
        <v>12.119999999999999</v>
      </c>
      <c r="F30" s="30">
        <v>0.92000000000000004</v>
      </c>
      <c r="G30" s="31">
        <v>0.93000000000000005</v>
      </c>
    </row>
    <row r="31" ht="14.25">
      <c r="B31" s="33" t="s">
        <v>35</v>
      </c>
      <c r="C31" s="34" t="s">
        <v>36</v>
      </c>
      <c r="D31" s="35">
        <v>11.56</v>
      </c>
      <c r="E31" s="35">
        <v>11.880000000000001</v>
      </c>
      <c r="F31" s="36">
        <v>0.68000000000000005</v>
      </c>
      <c r="G31" s="37">
        <v>0.65000000000000002</v>
      </c>
    </row>
    <row r="34" s="17" customFormat="1" ht="14.25">
      <c r="B34" s="2" t="s">
        <v>37</v>
      </c>
    </row>
    <row r="35" s="0" customFormat="1" ht="14.25">
      <c r="B35" t="s">
        <v>38</v>
      </c>
      <c r="C35"/>
      <c r="D35"/>
      <c r="E35"/>
      <c r="F35"/>
      <c r="G35"/>
      <c r="H35"/>
      <c r="I35"/>
      <c r="J35"/>
      <c r="K35"/>
      <c r="L35"/>
      <c r="M35"/>
      <c r="N35"/>
    </row>
    <row r="36" s="0" customFormat="1" ht="14.25">
      <c r="B36" t="s">
        <v>39</v>
      </c>
      <c r="C36"/>
      <c r="D36"/>
      <c r="E36"/>
      <c r="F36"/>
      <c r="G36"/>
      <c r="H36"/>
      <c r="I36"/>
      <c r="J36"/>
      <c r="K36"/>
      <c r="L36"/>
      <c r="M36"/>
      <c r="N36"/>
    </row>
    <row r="37" s="0" customFormat="1" ht="14.25">
      <c r="B37" t="s">
        <v>40</v>
      </c>
      <c r="C37"/>
      <c r="D37"/>
      <c r="E37"/>
      <c r="F37"/>
      <c r="G37"/>
      <c r="H37"/>
      <c r="I37"/>
      <c r="J37"/>
      <c r="K37"/>
      <c r="L37"/>
      <c r="M37"/>
      <c r="N37"/>
    </row>
    <row r="38" s="0" customFormat="1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="0" customFormat="1" ht="14.25">
      <c r="B39" s="38" t="s">
        <v>25</v>
      </c>
      <c r="C39" s="39">
        <f>D27*1000</f>
        <v>35330</v>
      </c>
      <c r="D39" s="40" t="s">
        <v>41</v>
      </c>
      <c r="E39"/>
      <c r="F39"/>
      <c r="G39"/>
      <c r="H39"/>
      <c r="I39"/>
      <c r="J39"/>
      <c r="K39"/>
      <c r="L39"/>
      <c r="M39"/>
      <c r="N39"/>
    </row>
    <row r="40" s="0" customFormat="1" ht="14.25">
      <c r="B40" s="33" t="s">
        <v>26</v>
      </c>
      <c r="C40" s="34">
        <f>E27*1000</f>
        <v>13440</v>
      </c>
      <c r="D40" s="41" t="s">
        <v>41</v>
      </c>
      <c r="E40"/>
      <c r="F40"/>
      <c r="G40"/>
      <c r="H40"/>
      <c r="I40"/>
      <c r="J40"/>
      <c r="K40"/>
      <c r="L40"/>
      <c r="M40"/>
      <c r="N40"/>
    </row>
    <row r="41" s="0" customFormat="1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="0" customFormat="1" ht="14.25">
      <c r="B42"/>
      <c r="C42"/>
      <c r="D42"/>
      <c r="E42"/>
      <c r="F42"/>
      <c r="G42"/>
      <c r="H42"/>
      <c r="I42"/>
      <c r="J42"/>
      <c r="K42"/>
      <c r="L42"/>
      <c r="M42"/>
      <c r="N42"/>
    </row>
    <row r="43" s="17" customFormat="1" ht="14.25">
      <c r="B43" s="2" t="s">
        <v>42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</row>
    <row r="44" s="0" customFormat="1" ht="14.25">
      <c r="B44"/>
      <c r="C44"/>
      <c r="D44"/>
      <c r="E44"/>
      <c r="F44"/>
      <c r="G44"/>
      <c r="H44"/>
      <c r="I44"/>
      <c r="J44"/>
      <c r="K44"/>
      <c r="L44"/>
      <c r="M44"/>
      <c r="N44"/>
    </row>
    <row r="45" s="0" customFormat="1" ht="14.25">
      <c r="B45" t="s">
        <v>43</v>
      </c>
      <c r="C45"/>
      <c r="D45"/>
      <c r="E45"/>
      <c r="F45"/>
      <c r="G45"/>
      <c r="H45"/>
      <c r="I45"/>
      <c r="J45"/>
      <c r="K45"/>
      <c r="L45"/>
      <c r="M45"/>
      <c r="N45"/>
    </row>
    <row r="46" s="0" customFormat="1" ht="14.25">
      <c r="B46"/>
      <c r="C46"/>
      <c r="D46"/>
      <c r="E46"/>
      <c r="F46"/>
      <c r="G46"/>
      <c r="H46"/>
      <c r="I46"/>
      <c r="J46"/>
      <c r="K46"/>
      <c r="L46"/>
      <c r="M46"/>
      <c r="N46"/>
    </row>
    <row r="47" s="0" customFormat="1" ht="14.25">
      <c r="B47"/>
      <c r="C47" s="42" t="s">
        <v>25</v>
      </c>
      <c r="D47" s="43" t="s">
        <v>26</v>
      </c>
      <c r="E47"/>
      <c r="F47"/>
      <c r="G47"/>
      <c r="H47"/>
      <c r="I47"/>
      <c r="J47"/>
      <c r="K47"/>
      <c r="L47"/>
      <c r="M47"/>
      <c r="N47"/>
    </row>
    <row r="48" s="0" customFormat="1" ht="14.25">
      <c r="B48"/>
      <c r="C48" s="44" t="s">
        <v>44</v>
      </c>
      <c r="D48" s="27" t="s">
        <v>44</v>
      </c>
      <c r="E48"/>
      <c r="F48"/>
      <c r="G48"/>
      <c r="H48"/>
      <c r="I48"/>
      <c r="J48"/>
      <c r="K48"/>
      <c r="L48"/>
      <c r="M48"/>
      <c r="N48"/>
    </row>
    <row r="49" s="0" customFormat="1" ht="14.25">
      <c r="B49" s="45" t="s">
        <v>27</v>
      </c>
      <c r="C49" s="46">
        <f t="shared" ref="C49:C53" si="0">F27*(1000/100)</f>
        <v>26.5</v>
      </c>
      <c r="D49" s="47">
        <f t="shared" ref="D49:D53" si="1">G27*(1000/100)</f>
        <v>20.199999999999999</v>
      </c>
      <c r="E49"/>
      <c r="F49"/>
      <c r="G49"/>
      <c r="H49"/>
      <c r="I49"/>
      <c r="J49"/>
      <c r="K49"/>
      <c r="L49"/>
      <c r="M49"/>
      <c r="N49"/>
    </row>
    <row r="50" s="0" customFormat="1" ht="14.25">
      <c r="B50" s="48" t="s">
        <v>29</v>
      </c>
      <c r="C50" s="49">
        <f t="shared" si="0"/>
        <v>21</v>
      </c>
      <c r="D50" s="32">
        <f t="shared" si="1"/>
        <v>17.899999999999999</v>
      </c>
      <c r="E50"/>
      <c r="F50"/>
      <c r="G50"/>
      <c r="H50"/>
      <c r="I50"/>
      <c r="J50"/>
      <c r="K50"/>
      <c r="L50"/>
      <c r="M50"/>
      <c r="N50"/>
    </row>
    <row r="51" s="0" customFormat="1" ht="14.25">
      <c r="B51" s="48" t="s">
        <v>31</v>
      </c>
      <c r="C51" s="49">
        <f t="shared" si="0"/>
        <v>14.699999999999999</v>
      </c>
      <c r="D51" s="32">
        <f t="shared" si="1"/>
        <v>14.5</v>
      </c>
      <c r="E51"/>
      <c r="F51"/>
      <c r="G51"/>
      <c r="H51"/>
      <c r="I51"/>
      <c r="J51"/>
      <c r="K51"/>
      <c r="L51"/>
      <c r="M51"/>
      <c r="N51"/>
    </row>
    <row r="52" s="0" customFormat="1" ht="14.25">
      <c r="B52" s="48" t="s">
        <v>33</v>
      </c>
      <c r="C52" s="49">
        <f t="shared" si="0"/>
        <v>9.2000000000000011</v>
      </c>
      <c r="D52" s="32">
        <f t="shared" si="1"/>
        <v>9.3000000000000007</v>
      </c>
      <c r="E52"/>
      <c r="F52"/>
      <c r="G52"/>
      <c r="H52"/>
      <c r="I52"/>
      <c r="J52"/>
      <c r="K52"/>
      <c r="L52"/>
      <c r="M52"/>
      <c r="N52"/>
    </row>
    <row r="53" s="0" customFormat="1" ht="14.25">
      <c r="B53" s="50" t="s">
        <v>35</v>
      </c>
      <c r="C53" s="51">
        <f t="shared" si="0"/>
        <v>6.8000000000000007</v>
      </c>
      <c r="D53" s="52">
        <f t="shared" si="1"/>
        <v>6.5</v>
      </c>
      <c r="E53"/>
      <c r="F53"/>
      <c r="G53"/>
      <c r="H53"/>
      <c r="I53"/>
      <c r="J53"/>
      <c r="K53"/>
      <c r="L53"/>
      <c r="M53"/>
      <c r="N53"/>
    </row>
    <row r="54" s="0" customFormat="1" ht="14.25">
      <c r="B54" s="11"/>
      <c r="C54"/>
      <c r="D54"/>
      <c r="E54"/>
      <c r="F54"/>
      <c r="G54"/>
      <c r="H54"/>
      <c r="I54"/>
      <c r="J54"/>
      <c r="K54"/>
      <c r="L54"/>
      <c r="M54"/>
      <c r="N54"/>
    </row>
    <row r="55" s="0" customFormat="1" ht="14.25">
      <c r="B55"/>
      <c r="C55"/>
      <c r="D55"/>
      <c r="E55"/>
      <c r="F55"/>
      <c r="G55"/>
      <c r="H55"/>
      <c r="I55"/>
      <c r="J55"/>
      <c r="K55"/>
      <c r="L55"/>
      <c r="M55"/>
      <c r="N55"/>
    </row>
    <row r="56" s="0" customFormat="1" ht="14.25">
      <c r="C56" s="53" t="s">
        <v>25</v>
      </c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</row>
    <row r="57" ht="14.25">
      <c r="B57" s="54"/>
      <c r="C57" s="55" t="s">
        <v>45</v>
      </c>
      <c r="D57" s="55" t="s">
        <v>46</v>
      </c>
      <c r="E57" s="55" t="s">
        <v>47</v>
      </c>
      <c r="F57" s="55" t="s">
        <v>48</v>
      </c>
      <c r="G57" s="55" t="s">
        <v>49</v>
      </c>
      <c r="H57" s="55" t="s">
        <v>50</v>
      </c>
      <c r="I57" s="55" t="s">
        <v>51</v>
      </c>
      <c r="J57" s="55" t="s">
        <v>52</v>
      </c>
      <c r="K57" s="55" t="s">
        <v>53</v>
      </c>
      <c r="L57" s="55" t="s">
        <v>54</v>
      </c>
      <c r="M57" s="55" t="s">
        <v>55</v>
      </c>
      <c r="N57" s="55" t="s">
        <v>56</v>
      </c>
    </row>
    <row r="58" ht="14.25">
      <c r="B58" s="56" t="s">
        <v>57</v>
      </c>
      <c r="C58" s="57">
        <f t="shared" ref="C58:C64" si="2">$C$51</f>
        <v>14.699999999999999</v>
      </c>
      <c r="D58" s="57">
        <f t="shared" ref="D58:D64" si="3">$C$51</f>
        <v>14.699999999999999</v>
      </c>
      <c r="E58" s="57">
        <f t="shared" ref="E58:E64" si="4">$C$51</f>
        <v>14.699999999999999</v>
      </c>
      <c r="F58" s="58">
        <f t="shared" ref="F58:F64" si="5">$C$53</f>
        <v>6.8000000000000007</v>
      </c>
      <c r="G58" s="58">
        <f t="shared" ref="G58:G64" si="6">$C$53</f>
        <v>6.8000000000000007</v>
      </c>
      <c r="H58" s="58">
        <f t="shared" ref="H58:H64" si="7">$C$53</f>
        <v>6.8000000000000007</v>
      </c>
      <c r="I58" s="58">
        <f t="shared" ref="I58:I64" si="8">$C$53</f>
        <v>6.8000000000000007</v>
      </c>
      <c r="J58" s="58">
        <f t="shared" ref="J58:J64" si="9">$C$53</f>
        <v>6.8000000000000007</v>
      </c>
      <c r="K58" s="58">
        <f t="shared" ref="K58:K64" si="10">$C$53</f>
        <v>6.8000000000000007</v>
      </c>
      <c r="L58" s="58">
        <f t="shared" ref="L58:L64" si="11">$C$53</f>
        <v>6.8000000000000007</v>
      </c>
      <c r="M58" s="57">
        <f t="shared" ref="M58:M64" si="12">$C$51</f>
        <v>14.699999999999999</v>
      </c>
      <c r="N58" s="57">
        <f t="shared" ref="N58:N64" si="13">$C$51</f>
        <v>14.699999999999999</v>
      </c>
    </row>
    <row r="59" ht="14.25">
      <c r="B59" s="56" t="s">
        <v>58</v>
      </c>
      <c r="C59" s="57">
        <f t="shared" si="2"/>
        <v>14.699999999999999</v>
      </c>
      <c r="D59" s="57">
        <f t="shared" si="3"/>
        <v>14.699999999999999</v>
      </c>
      <c r="E59" s="57">
        <f t="shared" si="4"/>
        <v>14.699999999999999</v>
      </c>
      <c r="F59" s="58">
        <f t="shared" si="5"/>
        <v>6.8000000000000007</v>
      </c>
      <c r="G59" s="58">
        <f t="shared" si="6"/>
        <v>6.8000000000000007</v>
      </c>
      <c r="H59" s="58">
        <f t="shared" si="7"/>
        <v>6.8000000000000007</v>
      </c>
      <c r="I59" s="58">
        <f t="shared" si="8"/>
        <v>6.8000000000000007</v>
      </c>
      <c r="J59" s="58">
        <f t="shared" si="9"/>
        <v>6.8000000000000007</v>
      </c>
      <c r="K59" s="58">
        <f t="shared" si="10"/>
        <v>6.8000000000000007</v>
      </c>
      <c r="L59" s="58">
        <f t="shared" si="11"/>
        <v>6.8000000000000007</v>
      </c>
      <c r="M59" s="57">
        <f t="shared" si="12"/>
        <v>14.699999999999999</v>
      </c>
      <c r="N59" s="57">
        <f t="shared" si="13"/>
        <v>14.699999999999999</v>
      </c>
    </row>
    <row r="60" ht="14.25">
      <c r="B60" s="56" t="s">
        <v>59</v>
      </c>
      <c r="C60" s="57">
        <f t="shared" si="2"/>
        <v>14.699999999999999</v>
      </c>
      <c r="D60" s="57">
        <f t="shared" si="3"/>
        <v>14.699999999999999</v>
      </c>
      <c r="E60" s="57">
        <f t="shared" si="4"/>
        <v>14.699999999999999</v>
      </c>
      <c r="F60" s="58">
        <f t="shared" si="5"/>
        <v>6.8000000000000007</v>
      </c>
      <c r="G60" s="58">
        <f t="shared" si="6"/>
        <v>6.8000000000000007</v>
      </c>
      <c r="H60" s="58">
        <f t="shared" si="7"/>
        <v>6.8000000000000007</v>
      </c>
      <c r="I60" s="58">
        <f t="shared" si="8"/>
        <v>6.8000000000000007</v>
      </c>
      <c r="J60" s="58">
        <f t="shared" si="9"/>
        <v>6.8000000000000007</v>
      </c>
      <c r="K60" s="58">
        <f t="shared" si="10"/>
        <v>6.8000000000000007</v>
      </c>
      <c r="L60" s="58">
        <f t="shared" si="11"/>
        <v>6.8000000000000007</v>
      </c>
      <c r="M60" s="57">
        <f t="shared" si="12"/>
        <v>14.699999999999999</v>
      </c>
      <c r="N60" s="57">
        <f t="shared" si="13"/>
        <v>14.699999999999999</v>
      </c>
    </row>
    <row r="61" ht="14.25">
      <c r="B61" s="56" t="s">
        <v>60</v>
      </c>
      <c r="C61" s="59">
        <f t="shared" si="2"/>
        <v>14.699999999999999</v>
      </c>
      <c r="D61" s="57">
        <f t="shared" si="3"/>
        <v>14.699999999999999</v>
      </c>
      <c r="E61" s="57">
        <f t="shared" si="4"/>
        <v>14.699999999999999</v>
      </c>
      <c r="F61" s="58">
        <f t="shared" si="5"/>
        <v>6.8000000000000007</v>
      </c>
      <c r="G61" s="58">
        <f t="shared" si="6"/>
        <v>6.8000000000000007</v>
      </c>
      <c r="H61" s="58">
        <f t="shared" si="7"/>
        <v>6.8000000000000007</v>
      </c>
      <c r="I61" s="58">
        <f t="shared" si="8"/>
        <v>6.8000000000000007</v>
      </c>
      <c r="J61" s="58">
        <f t="shared" si="9"/>
        <v>6.8000000000000007</v>
      </c>
      <c r="K61" s="58">
        <f t="shared" si="10"/>
        <v>6.8000000000000007</v>
      </c>
      <c r="L61" s="58">
        <f t="shared" si="11"/>
        <v>6.8000000000000007</v>
      </c>
      <c r="M61" s="57">
        <f t="shared" si="12"/>
        <v>14.699999999999999</v>
      </c>
      <c r="N61" s="57">
        <f t="shared" si="13"/>
        <v>14.699999999999999</v>
      </c>
    </row>
    <row r="62" ht="14.25">
      <c r="B62" s="56" t="s">
        <v>61</v>
      </c>
      <c r="C62" s="57">
        <f t="shared" si="2"/>
        <v>14.699999999999999</v>
      </c>
      <c r="D62" s="57">
        <f t="shared" si="3"/>
        <v>14.699999999999999</v>
      </c>
      <c r="E62" s="57">
        <f t="shared" si="4"/>
        <v>14.699999999999999</v>
      </c>
      <c r="F62" s="58">
        <f t="shared" si="5"/>
        <v>6.8000000000000007</v>
      </c>
      <c r="G62" s="58">
        <f t="shared" si="6"/>
        <v>6.8000000000000007</v>
      </c>
      <c r="H62" s="58">
        <f t="shared" si="7"/>
        <v>6.8000000000000007</v>
      </c>
      <c r="I62" s="58">
        <f t="shared" si="8"/>
        <v>6.8000000000000007</v>
      </c>
      <c r="J62" s="58">
        <f t="shared" si="9"/>
        <v>6.8000000000000007</v>
      </c>
      <c r="K62" s="58">
        <f t="shared" si="10"/>
        <v>6.8000000000000007</v>
      </c>
      <c r="L62" s="58">
        <f t="shared" si="11"/>
        <v>6.8000000000000007</v>
      </c>
      <c r="M62" s="57">
        <f t="shared" si="12"/>
        <v>14.699999999999999</v>
      </c>
      <c r="N62" s="57">
        <f t="shared" si="13"/>
        <v>14.699999999999999</v>
      </c>
    </row>
    <row r="63" ht="14.25">
      <c r="B63" s="56" t="s">
        <v>62</v>
      </c>
      <c r="C63" s="57">
        <f t="shared" si="2"/>
        <v>14.699999999999999</v>
      </c>
      <c r="D63" s="57">
        <f t="shared" si="3"/>
        <v>14.699999999999999</v>
      </c>
      <c r="E63" s="57">
        <f t="shared" si="4"/>
        <v>14.699999999999999</v>
      </c>
      <c r="F63" s="58">
        <f t="shared" si="5"/>
        <v>6.8000000000000007</v>
      </c>
      <c r="G63" s="58">
        <f t="shared" si="6"/>
        <v>6.8000000000000007</v>
      </c>
      <c r="H63" s="58">
        <f t="shared" si="7"/>
        <v>6.8000000000000007</v>
      </c>
      <c r="I63" s="58">
        <f t="shared" si="8"/>
        <v>6.8000000000000007</v>
      </c>
      <c r="J63" s="58">
        <f t="shared" si="9"/>
        <v>6.8000000000000007</v>
      </c>
      <c r="K63" s="58">
        <f t="shared" si="10"/>
        <v>6.8000000000000007</v>
      </c>
      <c r="L63" s="58">
        <f t="shared" si="11"/>
        <v>6.8000000000000007</v>
      </c>
      <c r="M63" s="57">
        <f t="shared" si="12"/>
        <v>14.699999999999999</v>
      </c>
      <c r="N63" s="57">
        <f t="shared" si="13"/>
        <v>14.699999999999999</v>
      </c>
    </row>
    <row r="64" ht="14.25">
      <c r="B64" s="56" t="s">
        <v>63</v>
      </c>
      <c r="C64" s="57">
        <f t="shared" si="2"/>
        <v>14.699999999999999</v>
      </c>
      <c r="D64" s="57">
        <f t="shared" si="3"/>
        <v>14.699999999999999</v>
      </c>
      <c r="E64" s="57">
        <f t="shared" si="4"/>
        <v>14.699999999999999</v>
      </c>
      <c r="F64" s="58">
        <f t="shared" si="5"/>
        <v>6.8000000000000007</v>
      </c>
      <c r="G64" s="58">
        <f t="shared" si="6"/>
        <v>6.8000000000000007</v>
      </c>
      <c r="H64" s="58">
        <f t="shared" si="7"/>
        <v>6.8000000000000007</v>
      </c>
      <c r="I64" s="58">
        <f t="shared" si="8"/>
        <v>6.8000000000000007</v>
      </c>
      <c r="J64" s="58">
        <f t="shared" si="9"/>
        <v>6.8000000000000007</v>
      </c>
      <c r="K64" s="58">
        <f t="shared" si="10"/>
        <v>6.8000000000000007</v>
      </c>
      <c r="L64" s="58">
        <f t="shared" si="11"/>
        <v>6.8000000000000007</v>
      </c>
      <c r="M64" s="57">
        <f t="shared" si="12"/>
        <v>14.699999999999999</v>
      </c>
      <c r="N64" s="57">
        <f t="shared" si="13"/>
        <v>14.699999999999999</v>
      </c>
    </row>
    <row r="65" ht="14.25">
      <c r="B65" s="56" t="s">
        <v>64</v>
      </c>
      <c r="C65" s="60">
        <f t="shared" ref="C65:C66" si="14">$C$50</f>
        <v>21</v>
      </c>
      <c r="D65" s="60">
        <f t="shared" ref="D65:D66" si="15">$C$50</f>
        <v>21</v>
      </c>
      <c r="E65" s="61">
        <f t="shared" ref="E65:E80" si="16">$C$50</f>
        <v>21</v>
      </c>
      <c r="F65" s="62">
        <f t="shared" ref="F65:F80" si="17">$C$52</f>
        <v>9.2000000000000011</v>
      </c>
      <c r="G65" s="62">
        <f t="shared" ref="G65:G80" si="18">$C$52</f>
        <v>9.2000000000000011</v>
      </c>
      <c r="H65" s="62">
        <f t="shared" ref="H65:H80" si="19">$C$52</f>
        <v>9.2000000000000011</v>
      </c>
      <c r="I65" s="62">
        <f t="shared" ref="I65:I80" si="20">$C$52</f>
        <v>9.2000000000000011</v>
      </c>
      <c r="J65" s="62">
        <f t="shared" ref="J65:J80" si="21">$C$52</f>
        <v>9.2000000000000011</v>
      </c>
      <c r="K65" s="62">
        <f t="shared" ref="K65:K80" si="22">$C$52</f>
        <v>9.2000000000000011</v>
      </c>
      <c r="L65" s="62">
        <f t="shared" ref="L65:L80" si="23">$C$52</f>
        <v>9.2000000000000011</v>
      </c>
      <c r="M65" s="61">
        <f t="shared" ref="M65:M80" si="24">$C$50</f>
        <v>21</v>
      </c>
      <c r="N65" s="60">
        <f t="shared" ref="N65:N66" si="25">$C$50</f>
        <v>21</v>
      </c>
    </row>
    <row r="66" ht="14.25">
      <c r="B66" s="56" t="s">
        <v>65</v>
      </c>
      <c r="C66" s="60">
        <f t="shared" si="14"/>
        <v>21</v>
      </c>
      <c r="D66" s="60">
        <f t="shared" si="15"/>
        <v>21</v>
      </c>
      <c r="E66" s="60">
        <f t="shared" si="16"/>
        <v>21</v>
      </c>
      <c r="F66" s="62">
        <f t="shared" si="17"/>
        <v>9.2000000000000011</v>
      </c>
      <c r="G66" s="62">
        <f t="shared" si="18"/>
        <v>9.2000000000000011</v>
      </c>
      <c r="H66" s="62">
        <f t="shared" si="19"/>
        <v>9.2000000000000011</v>
      </c>
      <c r="I66" s="62">
        <f t="shared" si="20"/>
        <v>9.2000000000000011</v>
      </c>
      <c r="J66" s="62">
        <f t="shared" si="21"/>
        <v>9.2000000000000011</v>
      </c>
      <c r="K66" s="62">
        <f t="shared" si="22"/>
        <v>9.2000000000000011</v>
      </c>
      <c r="L66" s="62">
        <f t="shared" si="23"/>
        <v>9.2000000000000011</v>
      </c>
      <c r="M66" s="60">
        <f t="shared" si="24"/>
        <v>21</v>
      </c>
      <c r="N66" s="60">
        <f t="shared" si="25"/>
        <v>21</v>
      </c>
    </row>
    <row r="67" ht="14.25">
      <c r="B67" s="56" t="s">
        <v>66</v>
      </c>
      <c r="C67" s="63">
        <f t="shared" ref="C67:C68" si="26">$C$49</f>
        <v>26.5</v>
      </c>
      <c r="D67" s="63">
        <f t="shared" ref="D67:D68" si="27">$C$49</f>
        <v>26.5</v>
      </c>
      <c r="E67" s="60">
        <f t="shared" si="16"/>
        <v>21</v>
      </c>
      <c r="F67" s="62">
        <f t="shared" si="17"/>
        <v>9.2000000000000011</v>
      </c>
      <c r="G67" s="62">
        <f t="shared" si="18"/>
        <v>9.2000000000000011</v>
      </c>
      <c r="H67" s="62">
        <f t="shared" si="19"/>
        <v>9.2000000000000011</v>
      </c>
      <c r="I67" s="62">
        <f t="shared" si="20"/>
        <v>9.2000000000000011</v>
      </c>
      <c r="J67" s="62">
        <f t="shared" si="21"/>
        <v>9.2000000000000011</v>
      </c>
      <c r="K67" s="62">
        <f t="shared" si="22"/>
        <v>9.2000000000000011</v>
      </c>
      <c r="L67" s="62">
        <f t="shared" si="23"/>
        <v>9.2000000000000011</v>
      </c>
      <c r="M67" s="60">
        <f t="shared" si="24"/>
        <v>21</v>
      </c>
      <c r="N67" s="63">
        <f t="shared" ref="N67:N68" si="28">$C$49</f>
        <v>26.5</v>
      </c>
    </row>
    <row r="68" ht="14.25">
      <c r="B68" s="56" t="s">
        <v>67</v>
      </c>
      <c r="C68" s="63">
        <f t="shared" si="26"/>
        <v>26.5</v>
      </c>
      <c r="D68" s="63">
        <f t="shared" si="27"/>
        <v>26.5</v>
      </c>
      <c r="E68" s="60">
        <f t="shared" si="16"/>
        <v>21</v>
      </c>
      <c r="F68" s="62">
        <f t="shared" si="17"/>
        <v>9.2000000000000011</v>
      </c>
      <c r="G68" s="62">
        <f t="shared" si="18"/>
        <v>9.2000000000000011</v>
      </c>
      <c r="H68" s="62">
        <f t="shared" si="19"/>
        <v>9.2000000000000011</v>
      </c>
      <c r="I68" s="62">
        <f t="shared" si="20"/>
        <v>9.2000000000000011</v>
      </c>
      <c r="J68" s="62">
        <f t="shared" si="21"/>
        <v>9.2000000000000011</v>
      </c>
      <c r="K68" s="62">
        <f t="shared" si="22"/>
        <v>9.2000000000000011</v>
      </c>
      <c r="L68" s="62">
        <f t="shared" si="23"/>
        <v>9.2000000000000011</v>
      </c>
      <c r="M68" s="60">
        <f t="shared" si="24"/>
        <v>21</v>
      </c>
      <c r="N68" s="63">
        <f t="shared" si="28"/>
        <v>26.5</v>
      </c>
    </row>
    <row r="69" ht="14.25">
      <c r="B69" s="56" t="s">
        <v>68</v>
      </c>
      <c r="C69" s="60">
        <f t="shared" ref="C69:C75" si="29">$C$50</f>
        <v>21</v>
      </c>
      <c r="D69" s="60">
        <f t="shared" ref="D69:D75" si="30">$C$50</f>
        <v>21</v>
      </c>
      <c r="E69" s="60">
        <f t="shared" si="16"/>
        <v>21</v>
      </c>
      <c r="F69" s="62">
        <f t="shared" si="17"/>
        <v>9.2000000000000011</v>
      </c>
      <c r="G69" s="62">
        <f t="shared" si="18"/>
        <v>9.2000000000000011</v>
      </c>
      <c r="H69" s="62">
        <f t="shared" si="19"/>
        <v>9.2000000000000011</v>
      </c>
      <c r="I69" s="62">
        <f t="shared" si="20"/>
        <v>9.2000000000000011</v>
      </c>
      <c r="J69" s="62">
        <f t="shared" si="21"/>
        <v>9.2000000000000011</v>
      </c>
      <c r="K69" s="62">
        <f t="shared" si="22"/>
        <v>9.2000000000000011</v>
      </c>
      <c r="L69" s="62">
        <f t="shared" si="23"/>
        <v>9.2000000000000011</v>
      </c>
      <c r="M69" s="60">
        <f t="shared" si="24"/>
        <v>21</v>
      </c>
      <c r="N69" s="60">
        <f t="shared" ref="N69:N75" si="31">$C$50</f>
        <v>21</v>
      </c>
    </row>
    <row r="70" ht="14.25">
      <c r="B70" s="56" t="s">
        <v>69</v>
      </c>
      <c r="C70" s="60">
        <f t="shared" si="29"/>
        <v>21</v>
      </c>
      <c r="D70" s="60">
        <f t="shared" si="30"/>
        <v>21</v>
      </c>
      <c r="E70" s="60">
        <f t="shared" si="16"/>
        <v>21</v>
      </c>
      <c r="F70" s="62">
        <f t="shared" si="17"/>
        <v>9.2000000000000011</v>
      </c>
      <c r="G70" s="62">
        <f t="shared" si="18"/>
        <v>9.2000000000000011</v>
      </c>
      <c r="H70" s="62">
        <f t="shared" si="19"/>
        <v>9.2000000000000011</v>
      </c>
      <c r="I70" s="62">
        <f t="shared" si="20"/>
        <v>9.2000000000000011</v>
      </c>
      <c r="J70" s="62">
        <f t="shared" si="21"/>
        <v>9.2000000000000011</v>
      </c>
      <c r="K70" s="62">
        <f t="shared" si="22"/>
        <v>9.2000000000000011</v>
      </c>
      <c r="L70" s="62">
        <f t="shared" si="23"/>
        <v>9.2000000000000011</v>
      </c>
      <c r="M70" s="60">
        <f t="shared" si="24"/>
        <v>21</v>
      </c>
      <c r="N70" s="60">
        <f t="shared" si="31"/>
        <v>21</v>
      </c>
    </row>
    <row r="71" ht="14.25">
      <c r="B71" s="56" t="s">
        <v>70</v>
      </c>
      <c r="C71" s="60">
        <f t="shared" si="29"/>
        <v>21</v>
      </c>
      <c r="D71" s="60">
        <f t="shared" si="30"/>
        <v>21</v>
      </c>
      <c r="E71" s="60">
        <f t="shared" si="16"/>
        <v>21</v>
      </c>
      <c r="F71" s="62">
        <f t="shared" si="17"/>
        <v>9.2000000000000011</v>
      </c>
      <c r="G71" s="62">
        <f t="shared" si="18"/>
        <v>9.2000000000000011</v>
      </c>
      <c r="H71" s="62">
        <f t="shared" si="19"/>
        <v>9.2000000000000011</v>
      </c>
      <c r="I71" s="62">
        <f t="shared" si="20"/>
        <v>9.2000000000000011</v>
      </c>
      <c r="J71" s="62">
        <f t="shared" si="21"/>
        <v>9.2000000000000011</v>
      </c>
      <c r="K71" s="62">
        <f t="shared" si="22"/>
        <v>9.2000000000000011</v>
      </c>
      <c r="L71" s="62">
        <f t="shared" si="23"/>
        <v>9.2000000000000011</v>
      </c>
      <c r="M71" s="60">
        <f t="shared" si="24"/>
        <v>21</v>
      </c>
      <c r="N71" s="60">
        <f t="shared" si="31"/>
        <v>21</v>
      </c>
    </row>
    <row r="72" ht="14.25">
      <c r="B72" s="56" t="s">
        <v>71</v>
      </c>
      <c r="C72" s="60">
        <f t="shared" si="29"/>
        <v>21</v>
      </c>
      <c r="D72" s="60">
        <f t="shared" si="30"/>
        <v>21</v>
      </c>
      <c r="E72" s="60">
        <f t="shared" si="16"/>
        <v>21</v>
      </c>
      <c r="F72" s="62">
        <f t="shared" si="17"/>
        <v>9.2000000000000011</v>
      </c>
      <c r="G72" s="62">
        <f t="shared" si="18"/>
        <v>9.2000000000000011</v>
      </c>
      <c r="H72" s="62">
        <f t="shared" si="19"/>
        <v>9.2000000000000011</v>
      </c>
      <c r="I72" s="62">
        <f t="shared" si="20"/>
        <v>9.2000000000000011</v>
      </c>
      <c r="J72" s="62">
        <f t="shared" si="21"/>
        <v>9.2000000000000011</v>
      </c>
      <c r="K72" s="62">
        <f t="shared" si="22"/>
        <v>9.2000000000000011</v>
      </c>
      <c r="L72" s="62">
        <f t="shared" si="23"/>
        <v>9.2000000000000011</v>
      </c>
      <c r="M72" s="60">
        <f t="shared" si="24"/>
        <v>21</v>
      </c>
      <c r="N72" s="60">
        <f t="shared" si="31"/>
        <v>21</v>
      </c>
    </row>
    <row r="73" ht="14.25">
      <c r="B73" s="56" t="s">
        <v>72</v>
      </c>
      <c r="C73" s="60">
        <f t="shared" si="29"/>
        <v>21</v>
      </c>
      <c r="D73" s="60">
        <f t="shared" si="30"/>
        <v>21</v>
      </c>
      <c r="E73" s="60">
        <f t="shared" si="16"/>
        <v>21</v>
      </c>
      <c r="F73" s="62">
        <f t="shared" si="17"/>
        <v>9.2000000000000011</v>
      </c>
      <c r="G73" s="62">
        <f t="shared" si="18"/>
        <v>9.2000000000000011</v>
      </c>
      <c r="H73" s="62">
        <f t="shared" si="19"/>
        <v>9.2000000000000011</v>
      </c>
      <c r="I73" s="62">
        <f t="shared" si="20"/>
        <v>9.2000000000000011</v>
      </c>
      <c r="J73" s="62">
        <f t="shared" si="21"/>
        <v>9.2000000000000011</v>
      </c>
      <c r="K73" s="62">
        <f t="shared" si="22"/>
        <v>9.2000000000000011</v>
      </c>
      <c r="L73" s="62">
        <f t="shared" si="23"/>
        <v>9.2000000000000011</v>
      </c>
      <c r="M73" s="60">
        <f t="shared" si="24"/>
        <v>21</v>
      </c>
      <c r="N73" s="60">
        <f t="shared" si="31"/>
        <v>21</v>
      </c>
    </row>
    <row r="74" ht="14.25">
      <c r="B74" s="56" t="s">
        <v>73</v>
      </c>
      <c r="C74" s="60">
        <f t="shared" si="29"/>
        <v>21</v>
      </c>
      <c r="D74" s="60">
        <f t="shared" si="30"/>
        <v>21</v>
      </c>
      <c r="E74" s="60">
        <f t="shared" si="16"/>
        <v>21</v>
      </c>
      <c r="F74" s="62">
        <f t="shared" si="17"/>
        <v>9.2000000000000011</v>
      </c>
      <c r="G74" s="62">
        <f t="shared" si="18"/>
        <v>9.2000000000000011</v>
      </c>
      <c r="H74" s="62">
        <f t="shared" si="19"/>
        <v>9.2000000000000011</v>
      </c>
      <c r="I74" s="62">
        <f t="shared" si="20"/>
        <v>9.2000000000000011</v>
      </c>
      <c r="J74" s="62">
        <f t="shared" si="21"/>
        <v>9.2000000000000011</v>
      </c>
      <c r="K74" s="62">
        <f t="shared" si="22"/>
        <v>9.2000000000000011</v>
      </c>
      <c r="L74" s="62">
        <f t="shared" si="23"/>
        <v>9.2000000000000011</v>
      </c>
      <c r="M74" s="60">
        <f t="shared" si="24"/>
        <v>21</v>
      </c>
      <c r="N74" s="60">
        <f t="shared" si="31"/>
        <v>21</v>
      </c>
    </row>
    <row r="75" ht="14.25">
      <c r="B75" s="56" t="s">
        <v>74</v>
      </c>
      <c r="C75" s="60">
        <f t="shared" si="29"/>
        <v>21</v>
      </c>
      <c r="D75" s="60">
        <f t="shared" si="30"/>
        <v>21</v>
      </c>
      <c r="E75" s="60">
        <f t="shared" si="16"/>
        <v>21</v>
      </c>
      <c r="F75" s="62">
        <f t="shared" si="17"/>
        <v>9.2000000000000011</v>
      </c>
      <c r="G75" s="62">
        <f t="shared" si="18"/>
        <v>9.2000000000000011</v>
      </c>
      <c r="H75" s="62">
        <f t="shared" si="19"/>
        <v>9.2000000000000011</v>
      </c>
      <c r="I75" s="62">
        <f t="shared" si="20"/>
        <v>9.2000000000000011</v>
      </c>
      <c r="J75" s="62">
        <f t="shared" si="21"/>
        <v>9.2000000000000011</v>
      </c>
      <c r="K75" s="62">
        <f t="shared" si="22"/>
        <v>9.2000000000000011</v>
      </c>
      <c r="L75" s="62">
        <f t="shared" si="23"/>
        <v>9.2000000000000011</v>
      </c>
      <c r="M75" s="60">
        <f t="shared" si="24"/>
        <v>21</v>
      </c>
      <c r="N75" s="60">
        <f t="shared" si="31"/>
        <v>21</v>
      </c>
    </row>
    <row r="76" ht="14.25">
      <c r="B76" s="56" t="s">
        <v>75</v>
      </c>
      <c r="C76" s="63">
        <f t="shared" ref="C76:C77" si="32">$C$49</f>
        <v>26.5</v>
      </c>
      <c r="D76" s="64">
        <f t="shared" ref="D76:D77" si="33">$C$49</f>
        <v>26.5</v>
      </c>
      <c r="E76" s="60">
        <f t="shared" si="16"/>
        <v>21</v>
      </c>
      <c r="F76" s="62">
        <f t="shared" si="17"/>
        <v>9.2000000000000011</v>
      </c>
      <c r="G76" s="62">
        <f t="shared" si="18"/>
        <v>9.2000000000000011</v>
      </c>
      <c r="H76" s="62">
        <f t="shared" si="19"/>
        <v>9.2000000000000011</v>
      </c>
      <c r="I76" s="62">
        <f t="shared" si="20"/>
        <v>9.2000000000000011</v>
      </c>
      <c r="J76" s="62">
        <f t="shared" si="21"/>
        <v>9.2000000000000011</v>
      </c>
      <c r="K76" s="62">
        <f t="shared" si="22"/>
        <v>9.2000000000000011</v>
      </c>
      <c r="L76" s="62">
        <f t="shared" si="23"/>
        <v>9.2000000000000011</v>
      </c>
      <c r="M76" s="60">
        <f t="shared" si="24"/>
        <v>21</v>
      </c>
      <c r="N76" s="63">
        <f t="shared" ref="N76:N77" si="34">$C$49</f>
        <v>26.5</v>
      </c>
    </row>
    <row r="77" ht="14.25">
      <c r="B77" s="56" t="s">
        <v>76</v>
      </c>
      <c r="C77" s="63">
        <f t="shared" si="32"/>
        <v>26.5</v>
      </c>
      <c r="D77" s="63">
        <f t="shared" si="33"/>
        <v>26.5</v>
      </c>
      <c r="E77" s="60">
        <f t="shared" si="16"/>
        <v>21</v>
      </c>
      <c r="F77" s="62">
        <f t="shared" si="17"/>
        <v>9.2000000000000011</v>
      </c>
      <c r="G77" s="62">
        <f t="shared" si="18"/>
        <v>9.2000000000000011</v>
      </c>
      <c r="H77" s="62">
        <f t="shared" si="19"/>
        <v>9.2000000000000011</v>
      </c>
      <c r="I77" s="62">
        <f t="shared" si="20"/>
        <v>9.2000000000000011</v>
      </c>
      <c r="J77" s="62">
        <f t="shared" si="21"/>
        <v>9.2000000000000011</v>
      </c>
      <c r="K77" s="62">
        <f t="shared" si="22"/>
        <v>9.2000000000000011</v>
      </c>
      <c r="L77" s="62">
        <f t="shared" si="23"/>
        <v>9.2000000000000011</v>
      </c>
      <c r="M77" s="60">
        <f t="shared" si="24"/>
        <v>21</v>
      </c>
      <c r="N77" s="63">
        <f t="shared" si="34"/>
        <v>26.5</v>
      </c>
    </row>
    <row r="78" ht="14.25">
      <c r="B78" s="56" t="s">
        <v>77</v>
      </c>
      <c r="C78" s="60">
        <f t="shared" ref="C78:C80" si="35">$C$50</f>
        <v>21</v>
      </c>
      <c r="D78" s="60">
        <f t="shared" ref="D78:D80" si="36">$C$50</f>
        <v>21</v>
      </c>
      <c r="E78" s="60">
        <f t="shared" si="16"/>
        <v>21</v>
      </c>
      <c r="F78" s="62">
        <f t="shared" si="17"/>
        <v>9.2000000000000011</v>
      </c>
      <c r="G78" s="62">
        <f t="shared" si="18"/>
        <v>9.2000000000000011</v>
      </c>
      <c r="H78" s="62">
        <f t="shared" si="19"/>
        <v>9.2000000000000011</v>
      </c>
      <c r="I78" s="62">
        <f t="shared" si="20"/>
        <v>9.2000000000000011</v>
      </c>
      <c r="J78" s="62">
        <f t="shared" si="21"/>
        <v>9.2000000000000011</v>
      </c>
      <c r="K78" s="62">
        <f t="shared" si="22"/>
        <v>9.2000000000000011</v>
      </c>
      <c r="L78" s="62">
        <f t="shared" si="23"/>
        <v>9.2000000000000011</v>
      </c>
      <c r="M78" s="60">
        <f t="shared" si="24"/>
        <v>21</v>
      </c>
      <c r="N78" s="60">
        <f t="shared" ref="N78:N80" si="37">$C$50</f>
        <v>21</v>
      </c>
    </row>
    <row r="79" ht="14.25">
      <c r="B79" s="56" t="s">
        <v>78</v>
      </c>
      <c r="C79" s="60">
        <f t="shared" si="35"/>
        <v>21</v>
      </c>
      <c r="D79" s="60">
        <f t="shared" si="36"/>
        <v>21</v>
      </c>
      <c r="E79" s="60">
        <f t="shared" si="16"/>
        <v>21</v>
      </c>
      <c r="F79" s="62">
        <f t="shared" si="17"/>
        <v>9.2000000000000011</v>
      </c>
      <c r="G79" s="62">
        <f t="shared" si="18"/>
        <v>9.2000000000000011</v>
      </c>
      <c r="H79" s="62">
        <f t="shared" si="19"/>
        <v>9.2000000000000011</v>
      </c>
      <c r="I79" s="62">
        <f t="shared" si="20"/>
        <v>9.2000000000000011</v>
      </c>
      <c r="J79" s="62">
        <f t="shared" si="21"/>
        <v>9.2000000000000011</v>
      </c>
      <c r="K79" s="62">
        <f t="shared" si="22"/>
        <v>9.2000000000000011</v>
      </c>
      <c r="L79" s="62">
        <f t="shared" si="23"/>
        <v>9.2000000000000011</v>
      </c>
      <c r="M79" s="60">
        <f t="shared" si="24"/>
        <v>21</v>
      </c>
      <c r="N79" s="60">
        <f t="shared" si="37"/>
        <v>21</v>
      </c>
    </row>
    <row r="80" ht="14.25">
      <c r="B80" s="56" t="s">
        <v>79</v>
      </c>
      <c r="C80" s="60">
        <f t="shared" si="35"/>
        <v>21</v>
      </c>
      <c r="D80" s="60">
        <f t="shared" si="36"/>
        <v>21</v>
      </c>
      <c r="E80" s="60">
        <f t="shared" si="16"/>
        <v>21</v>
      </c>
      <c r="F80" s="62">
        <f t="shared" si="17"/>
        <v>9.2000000000000011</v>
      </c>
      <c r="G80" s="62">
        <f t="shared" si="18"/>
        <v>9.2000000000000011</v>
      </c>
      <c r="H80" s="62">
        <f t="shared" si="19"/>
        <v>9.2000000000000011</v>
      </c>
      <c r="I80" s="62">
        <f t="shared" si="20"/>
        <v>9.2000000000000011</v>
      </c>
      <c r="J80" s="62">
        <f t="shared" si="21"/>
        <v>9.2000000000000011</v>
      </c>
      <c r="K80" s="62">
        <f t="shared" si="22"/>
        <v>9.2000000000000011</v>
      </c>
      <c r="L80" s="62">
        <f t="shared" si="23"/>
        <v>9.2000000000000011</v>
      </c>
      <c r="M80" s="60">
        <f t="shared" si="24"/>
        <v>21</v>
      </c>
      <c r="N80" s="60">
        <f t="shared" si="37"/>
        <v>21</v>
      </c>
    </row>
    <row r="81" ht="14.25">
      <c r="B81" s="65" t="s">
        <v>80</v>
      </c>
      <c r="C81" s="66">
        <f>$C$51</f>
        <v>14.699999999999999</v>
      </c>
      <c r="D81" s="66">
        <f>$C$51</f>
        <v>14.699999999999999</v>
      </c>
      <c r="E81" s="66">
        <f>$C$51</f>
        <v>14.699999999999999</v>
      </c>
      <c r="F81" s="67">
        <f>$C$53</f>
        <v>6.8000000000000007</v>
      </c>
      <c r="G81" s="67">
        <f>$C$53</f>
        <v>6.8000000000000007</v>
      </c>
      <c r="H81" s="67">
        <f>$C$53</f>
        <v>6.8000000000000007</v>
      </c>
      <c r="I81" s="67">
        <f>$C$53</f>
        <v>6.8000000000000007</v>
      </c>
      <c r="J81" s="67">
        <f>$C$53</f>
        <v>6.8000000000000007</v>
      </c>
      <c r="K81" s="67">
        <f>$C$53</f>
        <v>6.8000000000000007</v>
      </c>
      <c r="L81" s="67">
        <f>$C$53</f>
        <v>6.8000000000000007</v>
      </c>
      <c r="M81" s="68">
        <f>$C$51</f>
        <v>14.699999999999999</v>
      </c>
      <c r="N81" s="68">
        <f>$C$51</f>
        <v>14.699999999999999</v>
      </c>
    </row>
    <row r="83" ht="14.25">
      <c r="C83" s="53" t="s">
        <v>26</v>
      </c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</row>
    <row r="84" ht="14.25">
      <c r="B84" s="69"/>
      <c r="C84" s="55" t="s">
        <v>45</v>
      </c>
      <c r="D84" s="55" t="s">
        <v>46</v>
      </c>
      <c r="E84" s="55" t="s">
        <v>47</v>
      </c>
      <c r="F84" s="55" t="s">
        <v>48</v>
      </c>
      <c r="G84" s="55" t="s">
        <v>49</v>
      </c>
      <c r="H84" s="55" t="s">
        <v>50</v>
      </c>
      <c r="I84" s="55" t="s">
        <v>51</v>
      </c>
      <c r="J84" s="55" t="s">
        <v>52</v>
      </c>
      <c r="K84" s="55" t="s">
        <v>53</v>
      </c>
      <c r="L84" s="55" t="s">
        <v>54</v>
      </c>
      <c r="M84" s="55" t="s">
        <v>55</v>
      </c>
      <c r="N84" s="70" t="s">
        <v>56</v>
      </c>
    </row>
    <row r="85" ht="14.25">
      <c r="B85" s="71" t="s">
        <v>57</v>
      </c>
      <c r="C85" s="72">
        <f t="shared" ref="C85:C91" si="38">$D$51</f>
        <v>14.5</v>
      </c>
      <c r="D85" s="73">
        <f t="shared" ref="D85:D91" si="39">$D$51</f>
        <v>14.5</v>
      </c>
      <c r="E85" s="73">
        <f t="shared" ref="E85:E91" si="40">$D$51</f>
        <v>14.5</v>
      </c>
      <c r="F85" s="74">
        <f t="shared" ref="F85:F91" si="41">$D$53</f>
        <v>6.5</v>
      </c>
      <c r="G85" s="74">
        <f t="shared" ref="G85:G91" si="42">$D$53</f>
        <v>6.5</v>
      </c>
      <c r="H85" s="74">
        <f t="shared" ref="H85:H91" si="43">$D$53</f>
        <v>6.5</v>
      </c>
      <c r="I85" s="74">
        <f t="shared" ref="I85:I91" si="44">$D$53</f>
        <v>6.5</v>
      </c>
      <c r="J85" s="74">
        <f t="shared" ref="J85:J91" si="45">$D$53</f>
        <v>6.5</v>
      </c>
      <c r="K85" s="74">
        <f t="shared" ref="K85:K91" si="46">$D$53</f>
        <v>6.5</v>
      </c>
      <c r="L85" s="74">
        <f t="shared" ref="L85:L91" si="47">$D$53</f>
        <v>6.5</v>
      </c>
      <c r="M85" s="73">
        <f t="shared" ref="M85:M91" si="48">$D$51</f>
        <v>14.5</v>
      </c>
      <c r="N85" s="75">
        <f t="shared" ref="N85:N91" si="49">$D$51</f>
        <v>14.5</v>
      </c>
    </row>
    <row r="86" ht="14.25">
      <c r="B86" s="71" t="s">
        <v>58</v>
      </c>
      <c r="C86" s="76">
        <f t="shared" si="38"/>
        <v>14.5</v>
      </c>
      <c r="D86" s="57">
        <f t="shared" si="39"/>
        <v>14.5</v>
      </c>
      <c r="E86" s="57">
        <f t="shared" si="40"/>
        <v>14.5</v>
      </c>
      <c r="F86" s="58">
        <f t="shared" si="41"/>
        <v>6.5</v>
      </c>
      <c r="G86" s="58">
        <f t="shared" si="42"/>
        <v>6.5</v>
      </c>
      <c r="H86" s="58">
        <f t="shared" si="43"/>
        <v>6.5</v>
      </c>
      <c r="I86" s="58">
        <f t="shared" si="44"/>
        <v>6.5</v>
      </c>
      <c r="J86" s="58">
        <f t="shared" si="45"/>
        <v>6.5</v>
      </c>
      <c r="K86" s="58">
        <f t="shared" si="46"/>
        <v>6.5</v>
      </c>
      <c r="L86" s="58">
        <f t="shared" si="47"/>
        <v>6.5</v>
      </c>
      <c r="M86" s="57">
        <f t="shared" si="48"/>
        <v>14.5</v>
      </c>
      <c r="N86" s="77">
        <f t="shared" si="49"/>
        <v>14.5</v>
      </c>
    </row>
    <row r="87" ht="14.25">
      <c r="B87" s="71" t="s">
        <v>59</v>
      </c>
      <c r="C87" s="76">
        <f t="shared" si="38"/>
        <v>14.5</v>
      </c>
      <c r="D87" s="57">
        <f t="shared" si="39"/>
        <v>14.5</v>
      </c>
      <c r="E87" s="57">
        <f t="shared" si="40"/>
        <v>14.5</v>
      </c>
      <c r="F87" s="58">
        <f t="shared" si="41"/>
        <v>6.5</v>
      </c>
      <c r="G87" s="58">
        <f t="shared" si="42"/>
        <v>6.5</v>
      </c>
      <c r="H87" s="58">
        <f t="shared" si="43"/>
        <v>6.5</v>
      </c>
      <c r="I87" s="58">
        <f t="shared" si="44"/>
        <v>6.5</v>
      </c>
      <c r="J87" s="58">
        <f t="shared" si="45"/>
        <v>6.5</v>
      </c>
      <c r="K87" s="58">
        <f t="shared" si="46"/>
        <v>6.5</v>
      </c>
      <c r="L87" s="58">
        <f t="shared" si="47"/>
        <v>6.5</v>
      </c>
      <c r="M87" s="57">
        <f t="shared" si="48"/>
        <v>14.5</v>
      </c>
      <c r="N87" s="77">
        <f t="shared" si="49"/>
        <v>14.5</v>
      </c>
    </row>
    <row r="88" ht="14.25">
      <c r="B88" s="71" t="s">
        <v>60</v>
      </c>
      <c r="C88" s="76">
        <f t="shared" si="38"/>
        <v>14.5</v>
      </c>
      <c r="D88" s="57">
        <f t="shared" si="39"/>
        <v>14.5</v>
      </c>
      <c r="E88" s="57">
        <f t="shared" si="40"/>
        <v>14.5</v>
      </c>
      <c r="F88" s="58">
        <f t="shared" si="41"/>
        <v>6.5</v>
      </c>
      <c r="G88" s="58">
        <f t="shared" si="42"/>
        <v>6.5</v>
      </c>
      <c r="H88" s="58">
        <f t="shared" si="43"/>
        <v>6.5</v>
      </c>
      <c r="I88" s="58">
        <f t="shared" si="44"/>
        <v>6.5</v>
      </c>
      <c r="J88" s="58">
        <f t="shared" si="45"/>
        <v>6.5</v>
      </c>
      <c r="K88" s="58">
        <f t="shared" si="46"/>
        <v>6.5</v>
      </c>
      <c r="L88" s="58">
        <f t="shared" si="47"/>
        <v>6.5</v>
      </c>
      <c r="M88" s="57">
        <f t="shared" si="48"/>
        <v>14.5</v>
      </c>
      <c r="N88" s="77">
        <f t="shared" si="49"/>
        <v>14.5</v>
      </c>
    </row>
    <row r="89" ht="14.25">
      <c r="B89" s="71" t="s">
        <v>61</v>
      </c>
      <c r="C89" s="76">
        <f t="shared" si="38"/>
        <v>14.5</v>
      </c>
      <c r="D89" s="57">
        <f t="shared" si="39"/>
        <v>14.5</v>
      </c>
      <c r="E89" s="57">
        <f t="shared" si="40"/>
        <v>14.5</v>
      </c>
      <c r="F89" s="58">
        <f t="shared" si="41"/>
        <v>6.5</v>
      </c>
      <c r="G89" s="58">
        <f t="shared" si="42"/>
        <v>6.5</v>
      </c>
      <c r="H89" s="58">
        <f t="shared" si="43"/>
        <v>6.5</v>
      </c>
      <c r="I89" s="58">
        <f t="shared" si="44"/>
        <v>6.5</v>
      </c>
      <c r="J89" s="58">
        <f t="shared" si="45"/>
        <v>6.5</v>
      </c>
      <c r="K89" s="58">
        <f t="shared" si="46"/>
        <v>6.5</v>
      </c>
      <c r="L89" s="58">
        <f t="shared" si="47"/>
        <v>6.5</v>
      </c>
      <c r="M89" s="57">
        <f t="shared" si="48"/>
        <v>14.5</v>
      </c>
      <c r="N89" s="77">
        <f t="shared" si="49"/>
        <v>14.5</v>
      </c>
    </row>
    <row r="90" ht="14.25">
      <c r="B90" s="71" t="s">
        <v>62</v>
      </c>
      <c r="C90" s="76">
        <f t="shared" si="38"/>
        <v>14.5</v>
      </c>
      <c r="D90" s="57">
        <f t="shared" si="39"/>
        <v>14.5</v>
      </c>
      <c r="E90" s="57">
        <f t="shared" si="40"/>
        <v>14.5</v>
      </c>
      <c r="F90" s="58">
        <f t="shared" si="41"/>
        <v>6.5</v>
      </c>
      <c r="G90" s="58">
        <f t="shared" si="42"/>
        <v>6.5</v>
      </c>
      <c r="H90" s="58">
        <f t="shared" si="43"/>
        <v>6.5</v>
      </c>
      <c r="I90" s="58">
        <f t="shared" si="44"/>
        <v>6.5</v>
      </c>
      <c r="J90" s="58">
        <f t="shared" si="45"/>
        <v>6.5</v>
      </c>
      <c r="K90" s="58">
        <f t="shared" si="46"/>
        <v>6.5</v>
      </c>
      <c r="L90" s="58">
        <f t="shared" si="47"/>
        <v>6.5</v>
      </c>
      <c r="M90" s="57">
        <f t="shared" si="48"/>
        <v>14.5</v>
      </c>
      <c r="N90" s="77">
        <f t="shared" si="49"/>
        <v>14.5</v>
      </c>
    </row>
    <row r="91" ht="14.25">
      <c r="B91" s="71" t="s">
        <v>63</v>
      </c>
      <c r="C91" s="76">
        <f t="shared" si="38"/>
        <v>14.5</v>
      </c>
      <c r="D91" s="57">
        <f t="shared" si="39"/>
        <v>14.5</v>
      </c>
      <c r="E91" s="57">
        <f t="shared" si="40"/>
        <v>14.5</v>
      </c>
      <c r="F91" s="58">
        <f t="shared" si="41"/>
        <v>6.5</v>
      </c>
      <c r="G91" s="58">
        <f t="shared" si="42"/>
        <v>6.5</v>
      </c>
      <c r="H91" s="58">
        <f t="shared" si="43"/>
        <v>6.5</v>
      </c>
      <c r="I91" s="58">
        <f t="shared" si="44"/>
        <v>6.5</v>
      </c>
      <c r="J91" s="58">
        <f t="shared" si="45"/>
        <v>6.5</v>
      </c>
      <c r="K91" s="58">
        <f t="shared" si="46"/>
        <v>6.5</v>
      </c>
      <c r="L91" s="58">
        <f t="shared" si="47"/>
        <v>6.5</v>
      </c>
      <c r="M91" s="57">
        <f t="shared" si="48"/>
        <v>14.5</v>
      </c>
      <c r="N91" s="77">
        <f t="shared" si="49"/>
        <v>14.5</v>
      </c>
    </row>
    <row r="92" ht="14.25">
      <c r="B92" s="71" t="s">
        <v>64</v>
      </c>
      <c r="C92" s="78">
        <f t="shared" ref="C92:C93" si="50">$D$50</f>
        <v>17.899999999999999</v>
      </c>
      <c r="D92" s="60">
        <f t="shared" ref="D92:D93" si="51">$D$50</f>
        <v>17.899999999999999</v>
      </c>
      <c r="E92" s="60">
        <f t="shared" ref="E92:E107" si="52">$D$50</f>
        <v>17.899999999999999</v>
      </c>
      <c r="F92" s="62">
        <f t="shared" ref="F92:F107" si="53">$D$52</f>
        <v>9.3000000000000007</v>
      </c>
      <c r="G92" s="62">
        <f t="shared" ref="G92:G107" si="54">$D$52</f>
        <v>9.3000000000000007</v>
      </c>
      <c r="H92" s="62">
        <f t="shared" ref="H92:H107" si="55">$D$52</f>
        <v>9.3000000000000007</v>
      </c>
      <c r="I92" s="62">
        <f t="shared" ref="I92:I107" si="56">$D$52</f>
        <v>9.3000000000000007</v>
      </c>
      <c r="J92" s="62">
        <f t="shared" ref="J92:J107" si="57">$D$52</f>
        <v>9.3000000000000007</v>
      </c>
      <c r="K92" s="62">
        <f t="shared" ref="K92:K107" si="58">$D$52</f>
        <v>9.3000000000000007</v>
      </c>
      <c r="L92" s="62">
        <f t="shared" ref="L92:L107" si="59">$D$52</f>
        <v>9.3000000000000007</v>
      </c>
      <c r="M92" s="60">
        <f t="shared" ref="M92:M107" si="60">$D$50</f>
        <v>17.899999999999999</v>
      </c>
      <c r="N92" s="79">
        <f t="shared" ref="N92:N93" si="61">$D$50</f>
        <v>17.899999999999999</v>
      </c>
    </row>
    <row r="93" ht="14.25">
      <c r="B93" s="71" t="s">
        <v>65</v>
      </c>
      <c r="C93" s="78">
        <f t="shared" si="50"/>
        <v>17.899999999999999</v>
      </c>
      <c r="D93" s="60">
        <f t="shared" si="51"/>
        <v>17.899999999999999</v>
      </c>
      <c r="E93" s="60">
        <f t="shared" si="52"/>
        <v>17.899999999999999</v>
      </c>
      <c r="F93" s="62">
        <f t="shared" si="53"/>
        <v>9.3000000000000007</v>
      </c>
      <c r="G93" s="62">
        <f t="shared" si="54"/>
        <v>9.3000000000000007</v>
      </c>
      <c r="H93" s="62">
        <f t="shared" si="55"/>
        <v>9.3000000000000007</v>
      </c>
      <c r="I93" s="62">
        <f t="shared" si="56"/>
        <v>9.3000000000000007</v>
      </c>
      <c r="J93" s="62">
        <f t="shared" si="57"/>
        <v>9.3000000000000007</v>
      </c>
      <c r="K93" s="62">
        <f t="shared" si="58"/>
        <v>9.3000000000000007</v>
      </c>
      <c r="L93" s="62">
        <f t="shared" si="59"/>
        <v>9.3000000000000007</v>
      </c>
      <c r="M93" s="60">
        <f t="shared" si="60"/>
        <v>17.899999999999999</v>
      </c>
      <c r="N93" s="79">
        <f t="shared" si="61"/>
        <v>17.899999999999999</v>
      </c>
    </row>
    <row r="94" ht="14.25">
      <c r="B94" s="71" t="s">
        <v>66</v>
      </c>
      <c r="C94" s="80">
        <f t="shared" ref="C94:C95" si="62">$D$49</f>
        <v>20.199999999999999</v>
      </c>
      <c r="D94" s="63">
        <f t="shared" ref="D94:D95" si="63">$D$49</f>
        <v>20.199999999999999</v>
      </c>
      <c r="E94" s="60">
        <f t="shared" si="52"/>
        <v>17.899999999999999</v>
      </c>
      <c r="F94" s="62">
        <f t="shared" si="53"/>
        <v>9.3000000000000007</v>
      </c>
      <c r="G94" s="62">
        <f t="shared" si="54"/>
        <v>9.3000000000000007</v>
      </c>
      <c r="H94" s="62">
        <f t="shared" si="55"/>
        <v>9.3000000000000007</v>
      </c>
      <c r="I94" s="62">
        <f t="shared" si="56"/>
        <v>9.3000000000000007</v>
      </c>
      <c r="J94" s="62">
        <f t="shared" si="57"/>
        <v>9.3000000000000007</v>
      </c>
      <c r="K94" s="62">
        <f t="shared" si="58"/>
        <v>9.3000000000000007</v>
      </c>
      <c r="L94" s="62">
        <f t="shared" si="59"/>
        <v>9.3000000000000007</v>
      </c>
      <c r="M94" s="60">
        <f t="shared" si="60"/>
        <v>17.899999999999999</v>
      </c>
      <c r="N94" s="81">
        <f t="shared" ref="N94:N95" si="64">$D$49</f>
        <v>20.199999999999999</v>
      </c>
    </row>
    <row r="95" ht="14.25">
      <c r="B95" s="71" t="s">
        <v>67</v>
      </c>
      <c r="C95" s="80">
        <f t="shared" si="62"/>
        <v>20.199999999999999</v>
      </c>
      <c r="D95" s="63">
        <f t="shared" si="63"/>
        <v>20.199999999999999</v>
      </c>
      <c r="E95" s="60">
        <f t="shared" si="52"/>
        <v>17.899999999999999</v>
      </c>
      <c r="F95" s="62">
        <f t="shared" si="53"/>
        <v>9.3000000000000007</v>
      </c>
      <c r="G95" s="62">
        <f t="shared" si="54"/>
        <v>9.3000000000000007</v>
      </c>
      <c r="H95" s="62">
        <f t="shared" si="55"/>
        <v>9.3000000000000007</v>
      </c>
      <c r="I95" s="62">
        <f t="shared" si="56"/>
        <v>9.3000000000000007</v>
      </c>
      <c r="J95" s="62">
        <f t="shared" si="57"/>
        <v>9.3000000000000007</v>
      </c>
      <c r="K95" s="62">
        <f t="shared" si="58"/>
        <v>9.3000000000000007</v>
      </c>
      <c r="L95" s="62">
        <f t="shared" si="59"/>
        <v>9.3000000000000007</v>
      </c>
      <c r="M95" s="60">
        <f t="shared" si="60"/>
        <v>17.899999999999999</v>
      </c>
      <c r="N95" s="81">
        <f t="shared" si="64"/>
        <v>20.199999999999999</v>
      </c>
    </row>
    <row r="96" ht="14.25">
      <c r="B96" s="71" t="s">
        <v>68</v>
      </c>
      <c r="C96" s="78">
        <f t="shared" ref="C96:C102" si="65">$D$50</f>
        <v>17.899999999999999</v>
      </c>
      <c r="D96" s="60">
        <f t="shared" ref="D96:D102" si="66">$D$50</f>
        <v>17.899999999999999</v>
      </c>
      <c r="E96" s="60">
        <f t="shared" si="52"/>
        <v>17.899999999999999</v>
      </c>
      <c r="F96" s="62">
        <f t="shared" si="53"/>
        <v>9.3000000000000007</v>
      </c>
      <c r="G96" s="62">
        <f t="shared" si="54"/>
        <v>9.3000000000000007</v>
      </c>
      <c r="H96" s="62">
        <f t="shared" si="55"/>
        <v>9.3000000000000007</v>
      </c>
      <c r="I96" s="62">
        <f t="shared" si="56"/>
        <v>9.3000000000000007</v>
      </c>
      <c r="J96" s="62">
        <f t="shared" si="57"/>
        <v>9.3000000000000007</v>
      </c>
      <c r="K96" s="62">
        <f t="shared" si="58"/>
        <v>9.3000000000000007</v>
      </c>
      <c r="L96" s="62">
        <f t="shared" si="59"/>
        <v>9.3000000000000007</v>
      </c>
      <c r="M96" s="60">
        <f t="shared" si="60"/>
        <v>17.899999999999999</v>
      </c>
      <c r="N96" s="79">
        <f t="shared" ref="N96:N102" si="67">$D$50</f>
        <v>17.899999999999999</v>
      </c>
    </row>
    <row r="97" ht="14.25">
      <c r="B97" s="71" t="s">
        <v>69</v>
      </c>
      <c r="C97" s="78">
        <f t="shared" si="65"/>
        <v>17.899999999999999</v>
      </c>
      <c r="D97" s="60">
        <f t="shared" si="66"/>
        <v>17.899999999999999</v>
      </c>
      <c r="E97" s="60">
        <f t="shared" si="52"/>
        <v>17.899999999999999</v>
      </c>
      <c r="F97" s="62">
        <f t="shared" si="53"/>
        <v>9.3000000000000007</v>
      </c>
      <c r="G97" s="62">
        <f t="shared" si="54"/>
        <v>9.3000000000000007</v>
      </c>
      <c r="H97" s="62">
        <f t="shared" si="55"/>
        <v>9.3000000000000007</v>
      </c>
      <c r="I97" s="62">
        <f t="shared" si="56"/>
        <v>9.3000000000000007</v>
      </c>
      <c r="J97" s="62">
        <f t="shared" si="57"/>
        <v>9.3000000000000007</v>
      </c>
      <c r="K97" s="62">
        <f t="shared" si="58"/>
        <v>9.3000000000000007</v>
      </c>
      <c r="L97" s="62">
        <f t="shared" si="59"/>
        <v>9.3000000000000007</v>
      </c>
      <c r="M97" s="60">
        <f t="shared" si="60"/>
        <v>17.899999999999999</v>
      </c>
      <c r="N97" s="79">
        <f t="shared" si="67"/>
        <v>17.899999999999999</v>
      </c>
    </row>
    <row r="98" ht="14.25">
      <c r="B98" s="71" t="s">
        <v>70</v>
      </c>
      <c r="C98" s="78">
        <f t="shared" si="65"/>
        <v>17.899999999999999</v>
      </c>
      <c r="D98" s="60">
        <f t="shared" si="66"/>
        <v>17.899999999999999</v>
      </c>
      <c r="E98" s="60">
        <f t="shared" si="52"/>
        <v>17.899999999999999</v>
      </c>
      <c r="F98" s="62">
        <f t="shared" si="53"/>
        <v>9.3000000000000007</v>
      </c>
      <c r="G98" s="62">
        <f t="shared" si="54"/>
        <v>9.3000000000000007</v>
      </c>
      <c r="H98" s="62">
        <f t="shared" si="55"/>
        <v>9.3000000000000007</v>
      </c>
      <c r="I98" s="62">
        <f t="shared" si="56"/>
        <v>9.3000000000000007</v>
      </c>
      <c r="J98" s="62">
        <f t="shared" si="57"/>
        <v>9.3000000000000007</v>
      </c>
      <c r="K98" s="62">
        <f t="shared" si="58"/>
        <v>9.3000000000000007</v>
      </c>
      <c r="L98" s="62">
        <f t="shared" si="59"/>
        <v>9.3000000000000007</v>
      </c>
      <c r="M98" s="60">
        <f t="shared" si="60"/>
        <v>17.899999999999999</v>
      </c>
      <c r="N98" s="79">
        <f t="shared" si="67"/>
        <v>17.899999999999999</v>
      </c>
    </row>
    <row r="99" ht="14.25">
      <c r="B99" s="71" t="s">
        <v>71</v>
      </c>
      <c r="C99" s="78">
        <f t="shared" si="65"/>
        <v>17.899999999999999</v>
      </c>
      <c r="D99" s="60">
        <f t="shared" si="66"/>
        <v>17.899999999999999</v>
      </c>
      <c r="E99" s="60">
        <f t="shared" si="52"/>
        <v>17.899999999999999</v>
      </c>
      <c r="F99" s="62">
        <f t="shared" si="53"/>
        <v>9.3000000000000007</v>
      </c>
      <c r="G99" s="62">
        <f t="shared" si="54"/>
        <v>9.3000000000000007</v>
      </c>
      <c r="H99" s="62">
        <f t="shared" si="55"/>
        <v>9.3000000000000007</v>
      </c>
      <c r="I99" s="62">
        <f t="shared" si="56"/>
        <v>9.3000000000000007</v>
      </c>
      <c r="J99" s="62">
        <f t="shared" si="57"/>
        <v>9.3000000000000007</v>
      </c>
      <c r="K99" s="62">
        <f t="shared" si="58"/>
        <v>9.3000000000000007</v>
      </c>
      <c r="L99" s="62">
        <f t="shared" si="59"/>
        <v>9.3000000000000007</v>
      </c>
      <c r="M99" s="60">
        <f t="shared" si="60"/>
        <v>17.899999999999999</v>
      </c>
      <c r="N99" s="79">
        <f t="shared" si="67"/>
        <v>17.899999999999999</v>
      </c>
    </row>
    <row r="100" ht="14.25">
      <c r="B100" s="71" t="s">
        <v>72</v>
      </c>
      <c r="C100" s="78">
        <f t="shared" si="65"/>
        <v>17.899999999999999</v>
      </c>
      <c r="D100" s="60">
        <f t="shared" si="66"/>
        <v>17.899999999999999</v>
      </c>
      <c r="E100" s="60">
        <f t="shared" si="52"/>
        <v>17.899999999999999</v>
      </c>
      <c r="F100" s="62">
        <f t="shared" si="53"/>
        <v>9.3000000000000007</v>
      </c>
      <c r="G100" s="62">
        <f t="shared" si="54"/>
        <v>9.3000000000000007</v>
      </c>
      <c r="H100" s="62">
        <f t="shared" si="55"/>
        <v>9.3000000000000007</v>
      </c>
      <c r="I100" s="62">
        <f t="shared" si="56"/>
        <v>9.3000000000000007</v>
      </c>
      <c r="J100" s="62">
        <f t="shared" si="57"/>
        <v>9.3000000000000007</v>
      </c>
      <c r="K100" s="62">
        <f t="shared" si="58"/>
        <v>9.3000000000000007</v>
      </c>
      <c r="L100" s="62">
        <f t="shared" si="59"/>
        <v>9.3000000000000007</v>
      </c>
      <c r="M100" s="60">
        <f t="shared" si="60"/>
        <v>17.899999999999999</v>
      </c>
      <c r="N100" s="79">
        <f t="shared" si="67"/>
        <v>17.899999999999999</v>
      </c>
    </row>
    <row r="101" ht="14.25">
      <c r="B101" s="71" t="s">
        <v>73</v>
      </c>
      <c r="C101" s="78">
        <f t="shared" si="65"/>
        <v>17.899999999999999</v>
      </c>
      <c r="D101" s="60">
        <f t="shared" si="66"/>
        <v>17.899999999999999</v>
      </c>
      <c r="E101" s="60">
        <f t="shared" si="52"/>
        <v>17.899999999999999</v>
      </c>
      <c r="F101" s="62">
        <f t="shared" si="53"/>
        <v>9.3000000000000007</v>
      </c>
      <c r="G101" s="62">
        <f t="shared" si="54"/>
        <v>9.3000000000000007</v>
      </c>
      <c r="H101" s="62">
        <f t="shared" si="55"/>
        <v>9.3000000000000007</v>
      </c>
      <c r="I101" s="62">
        <f t="shared" si="56"/>
        <v>9.3000000000000007</v>
      </c>
      <c r="J101" s="62">
        <f t="shared" si="57"/>
        <v>9.3000000000000007</v>
      </c>
      <c r="K101" s="62">
        <f t="shared" si="58"/>
        <v>9.3000000000000007</v>
      </c>
      <c r="L101" s="62">
        <f t="shared" si="59"/>
        <v>9.3000000000000007</v>
      </c>
      <c r="M101" s="60">
        <f t="shared" si="60"/>
        <v>17.899999999999999</v>
      </c>
      <c r="N101" s="79">
        <f t="shared" si="67"/>
        <v>17.899999999999999</v>
      </c>
    </row>
    <row r="102" ht="14.25">
      <c r="B102" s="71" t="s">
        <v>74</v>
      </c>
      <c r="C102" s="78">
        <f t="shared" si="65"/>
        <v>17.899999999999999</v>
      </c>
      <c r="D102" s="60">
        <f t="shared" si="66"/>
        <v>17.899999999999999</v>
      </c>
      <c r="E102" s="60">
        <f t="shared" si="52"/>
        <v>17.899999999999999</v>
      </c>
      <c r="F102" s="62">
        <f t="shared" si="53"/>
        <v>9.3000000000000007</v>
      </c>
      <c r="G102" s="62">
        <f t="shared" si="54"/>
        <v>9.3000000000000007</v>
      </c>
      <c r="H102" s="62">
        <f t="shared" si="55"/>
        <v>9.3000000000000007</v>
      </c>
      <c r="I102" s="62">
        <f t="shared" si="56"/>
        <v>9.3000000000000007</v>
      </c>
      <c r="J102" s="62">
        <f t="shared" si="57"/>
        <v>9.3000000000000007</v>
      </c>
      <c r="K102" s="62">
        <f t="shared" si="58"/>
        <v>9.3000000000000007</v>
      </c>
      <c r="L102" s="62">
        <f t="shared" si="59"/>
        <v>9.3000000000000007</v>
      </c>
      <c r="M102" s="60">
        <f t="shared" si="60"/>
        <v>17.899999999999999</v>
      </c>
      <c r="N102" s="79">
        <f t="shared" si="67"/>
        <v>17.899999999999999</v>
      </c>
    </row>
    <row r="103" ht="14.25">
      <c r="B103" s="71" t="s">
        <v>75</v>
      </c>
      <c r="C103" s="80">
        <f t="shared" ref="C103:C104" si="68">$D$49</f>
        <v>20.199999999999999</v>
      </c>
      <c r="D103" s="63">
        <f t="shared" ref="D103:D104" si="69">$D$49</f>
        <v>20.199999999999999</v>
      </c>
      <c r="E103" s="60">
        <f t="shared" si="52"/>
        <v>17.899999999999999</v>
      </c>
      <c r="F103" s="62">
        <f t="shared" si="53"/>
        <v>9.3000000000000007</v>
      </c>
      <c r="G103" s="62">
        <f t="shared" si="54"/>
        <v>9.3000000000000007</v>
      </c>
      <c r="H103" s="62">
        <f t="shared" si="55"/>
        <v>9.3000000000000007</v>
      </c>
      <c r="I103" s="62">
        <f t="shared" si="56"/>
        <v>9.3000000000000007</v>
      </c>
      <c r="J103" s="62">
        <f t="shared" si="57"/>
        <v>9.3000000000000007</v>
      </c>
      <c r="K103" s="62">
        <f t="shared" si="58"/>
        <v>9.3000000000000007</v>
      </c>
      <c r="L103" s="62">
        <f t="shared" si="59"/>
        <v>9.3000000000000007</v>
      </c>
      <c r="M103" s="60">
        <f t="shared" si="60"/>
        <v>17.899999999999999</v>
      </c>
      <c r="N103" s="81">
        <f t="shared" ref="N103:N104" si="70">$D$49</f>
        <v>20.199999999999999</v>
      </c>
    </row>
    <row r="104" ht="14.25">
      <c r="B104" s="71" t="s">
        <v>76</v>
      </c>
      <c r="C104" s="80">
        <f t="shared" si="68"/>
        <v>20.199999999999999</v>
      </c>
      <c r="D104" s="63">
        <f t="shared" si="69"/>
        <v>20.199999999999999</v>
      </c>
      <c r="E104" s="60">
        <f t="shared" si="52"/>
        <v>17.899999999999999</v>
      </c>
      <c r="F104" s="62">
        <f t="shared" si="53"/>
        <v>9.3000000000000007</v>
      </c>
      <c r="G104" s="62">
        <f t="shared" si="54"/>
        <v>9.3000000000000007</v>
      </c>
      <c r="H104" s="62">
        <f t="shared" si="55"/>
        <v>9.3000000000000007</v>
      </c>
      <c r="I104" s="62">
        <f t="shared" si="56"/>
        <v>9.3000000000000007</v>
      </c>
      <c r="J104" s="62">
        <f t="shared" si="57"/>
        <v>9.3000000000000007</v>
      </c>
      <c r="K104" s="62">
        <f t="shared" si="58"/>
        <v>9.3000000000000007</v>
      </c>
      <c r="L104" s="62">
        <f t="shared" si="59"/>
        <v>9.3000000000000007</v>
      </c>
      <c r="M104" s="60">
        <f t="shared" si="60"/>
        <v>17.899999999999999</v>
      </c>
      <c r="N104" s="81">
        <f t="shared" si="70"/>
        <v>20.199999999999999</v>
      </c>
    </row>
    <row r="105" ht="14.25">
      <c r="B105" s="71" t="s">
        <v>77</v>
      </c>
      <c r="C105" s="78">
        <f t="shared" ref="C105:C107" si="71">$D$50</f>
        <v>17.899999999999999</v>
      </c>
      <c r="D105" s="60">
        <f t="shared" ref="D105:D107" si="72">$D$50</f>
        <v>17.899999999999999</v>
      </c>
      <c r="E105" s="60">
        <f t="shared" si="52"/>
        <v>17.899999999999999</v>
      </c>
      <c r="F105" s="62">
        <f t="shared" si="53"/>
        <v>9.3000000000000007</v>
      </c>
      <c r="G105" s="62">
        <f t="shared" si="54"/>
        <v>9.3000000000000007</v>
      </c>
      <c r="H105" s="62">
        <f t="shared" si="55"/>
        <v>9.3000000000000007</v>
      </c>
      <c r="I105" s="62">
        <f t="shared" si="56"/>
        <v>9.3000000000000007</v>
      </c>
      <c r="J105" s="62">
        <f t="shared" si="57"/>
        <v>9.3000000000000007</v>
      </c>
      <c r="K105" s="62">
        <f t="shared" si="58"/>
        <v>9.3000000000000007</v>
      </c>
      <c r="L105" s="62">
        <f t="shared" si="59"/>
        <v>9.3000000000000007</v>
      </c>
      <c r="M105" s="60">
        <f t="shared" si="60"/>
        <v>17.899999999999999</v>
      </c>
      <c r="N105" s="79">
        <f t="shared" ref="N105:N107" si="73">$D$50</f>
        <v>17.899999999999999</v>
      </c>
    </row>
    <row r="106" ht="14.25">
      <c r="B106" s="71" t="s">
        <v>78</v>
      </c>
      <c r="C106" s="78">
        <f t="shared" si="71"/>
        <v>17.899999999999999</v>
      </c>
      <c r="D106" s="60">
        <f t="shared" si="72"/>
        <v>17.899999999999999</v>
      </c>
      <c r="E106" s="60">
        <f t="shared" si="52"/>
        <v>17.899999999999999</v>
      </c>
      <c r="F106" s="62">
        <f t="shared" si="53"/>
        <v>9.3000000000000007</v>
      </c>
      <c r="G106" s="62">
        <f t="shared" si="54"/>
        <v>9.3000000000000007</v>
      </c>
      <c r="H106" s="62">
        <f t="shared" si="55"/>
        <v>9.3000000000000007</v>
      </c>
      <c r="I106" s="62">
        <f t="shared" si="56"/>
        <v>9.3000000000000007</v>
      </c>
      <c r="J106" s="62">
        <f t="shared" si="57"/>
        <v>9.3000000000000007</v>
      </c>
      <c r="K106" s="62">
        <f t="shared" si="58"/>
        <v>9.3000000000000007</v>
      </c>
      <c r="L106" s="62">
        <f t="shared" si="59"/>
        <v>9.3000000000000007</v>
      </c>
      <c r="M106" s="60">
        <f t="shared" si="60"/>
        <v>17.899999999999999</v>
      </c>
      <c r="N106" s="79">
        <f t="shared" si="73"/>
        <v>17.899999999999999</v>
      </c>
    </row>
    <row r="107" ht="14.25">
      <c r="B107" s="71" t="s">
        <v>79</v>
      </c>
      <c r="C107" s="78">
        <f t="shared" si="71"/>
        <v>17.899999999999999</v>
      </c>
      <c r="D107" s="60">
        <f t="shared" si="72"/>
        <v>17.899999999999999</v>
      </c>
      <c r="E107" s="60">
        <f t="shared" si="52"/>
        <v>17.899999999999999</v>
      </c>
      <c r="F107" s="62">
        <f t="shared" si="53"/>
        <v>9.3000000000000007</v>
      </c>
      <c r="G107" s="62">
        <f t="shared" si="54"/>
        <v>9.3000000000000007</v>
      </c>
      <c r="H107" s="62">
        <f t="shared" si="55"/>
        <v>9.3000000000000007</v>
      </c>
      <c r="I107" s="62">
        <f t="shared" si="56"/>
        <v>9.3000000000000007</v>
      </c>
      <c r="J107" s="62">
        <f t="shared" si="57"/>
        <v>9.3000000000000007</v>
      </c>
      <c r="K107" s="62">
        <f t="shared" si="58"/>
        <v>9.3000000000000007</v>
      </c>
      <c r="L107" s="62">
        <f t="shared" si="59"/>
        <v>9.3000000000000007</v>
      </c>
      <c r="M107" s="60">
        <f t="shared" si="60"/>
        <v>17.899999999999999</v>
      </c>
      <c r="N107" s="79">
        <f t="shared" si="73"/>
        <v>17.899999999999999</v>
      </c>
    </row>
    <row r="108" ht="14.25">
      <c r="B108" s="82" t="s">
        <v>80</v>
      </c>
      <c r="C108" s="83">
        <f>$D$51</f>
        <v>14.5</v>
      </c>
      <c r="D108" s="66">
        <f>$D$51</f>
        <v>14.5</v>
      </c>
      <c r="E108" s="66">
        <f>$D$51</f>
        <v>14.5</v>
      </c>
      <c r="F108" s="67">
        <f>$D$53</f>
        <v>6.5</v>
      </c>
      <c r="G108" s="67">
        <f>$D$53</f>
        <v>6.5</v>
      </c>
      <c r="H108" s="67">
        <f>$D$53</f>
        <v>6.5</v>
      </c>
      <c r="I108" s="67">
        <f>$D$53</f>
        <v>6.5</v>
      </c>
      <c r="J108" s="67">
        <f>$D$53</f>
        <v>6.5</v>
      </c>
      <c r="K108" s="67">
        <f>$D$53</f>
        <v>6.5</v>
      </c>
      <c r="L108" s="67">
        <f>$D$53</f>
        <v>6.5</v>
      </c>
      <c r="M108" s="66">
        <f>$D$51</f>
        <v>14.5</v>
      </c>
      <c r="N108" s="84">
        <f>$D$51</f>
        <v>14.5</v>
      </c>
    </row>
  </sheetData>
  <mergeCells count="6">
    <mergeCell ref="B25:B26"/>
    <mergeCell ref="C25:C26"/>
    <mergeCell ref="D25:E25"/>
    <mergeCell ref="F25:G25"/>
    <mergeCell ref="C56:N56"/>
    <mergeCell ref="C83:N83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6" zoomScale="100" workbookViewId="0">
      <selection activeCell="A1" activeCellId="0" sqref="A1"/>
    </sheetView>
  </sheetViews>
  <sheetFormatPr defaultRowHeight="14.25"/>
  <cols>
    <col customWidth="1" min="2" max="2" width="20.7109375"/>
    <col bestFit="1" customWidth="1" min="3" max="3" width="19.671875"/>
    <col customWidth="1" min="4" max="4" width="15.7109375"/>
  </cols>
  <sheetData>
    <row r="2" ht="14.25">
      <c r="B2" s="85" t="s">
        <v>81</v>
      </c>
      <c r="C2" s="86">
        <v>0.13400000000000001</v>
      </c>
      <c r="D2" s="87" t="s">
        <v>82</v>
      </c>
    </row>
    <row r="3" ht="14.25">
      <c r="B3" s="88"/>
      <c r="C3" s="89">
        <v>7.4634</v>
      </c>
      <c r="D3" s="90" t="s">
        <v>83</v>
      </c>
    </row>
    <row r="4" ht="14.25">
      <c r="C4" s="91" t="s">
        <v>84</v>
      </c>
    </row>
    <row r="9" s="17" customFormat="1">
      <c r="A9" s="1"/>
      <c r="B9" s="2" t="s">
        <v>85</v>
      </c>
      <c r="C9" s="3"/>
      <c r="D9" s="3"/>
      <c r="E9" s="3"/>
      <c r="F9" s="3"/>
    </row>
    <row r="10" ht="14.25">
      <c r="A10" s="4"/>
      <c r="B10" s="35"/>
      <c r="C10" s="35"/>
      <c r="D10" s="35"/>
      <c r="E10" s="4"/>
      <c r="F10" s="4"/>
    </row>
    <row r="11" ht="14.25">
      <c r="A11" s="31"/>
      <c r="B11" s="5" t="s">
        <v>1</v>
      </c>
      <c r="C11" s="6" t="s">
        <v>2</v>
      </c>
      <c r="D11" s="7" t="s">
        <v>86</v>
      </c>
      <c r="E11" s="8" t="s">
        <v>5</v>
      </c>
      <c r="F11" s="4"/>
    </row>
    <row r="12" ht="14.25">
      <c r="A12" s="31"/>
      <c r="B12" s="9" t="s">
        <v>6</v>
      </c>
      <c r="C12" s="10" t="s">
        <v>7</v>
      </c>
      <c r="D12" s="12" t="s">
        <v>87</v>
      </c>
      <c r="F12" s="4"/>
    </row>
    <row r="13" ht="14.25">
      <c r="A13" s="31"/>
      <c r="B13" s="9" t="s">
        <v>11</v>
      </c>
      <c r="C13" s="10" t="s">
        <v>88</v>
      </c>
      <c r="D13" s="12" t="s">
        <v>89</v>
      </c>
      <c r="F13" s="4"/>
    </row>
    <row r="14" ht="14.25">
      <c r="A14" s="31"/>
      <c r="B14" s="9" t="s">
        <v>16</v>
      </c>
      <c r="C14" s="10" t="s">
        <v>90</v>
      </c>
      <c r="D14" s="12" t="s">
        <v>91</v>
      </c>
      <c r="E14" s="13" t="s">
        <v>92</v>
      </c>
      <c r="F14" s="4"/>
    </row>
    <row r="15" ht="14.25">
      <c r="A15" s="31"/>
      <c r="B15" s="14" t="s">
        <v>18</v>
      </c>
      <c r="C15" s="15" t="s">
        <v>90</v>
      </c>
      <c r="D15" s="92" t="s">
        <v>91</v>
      </c>
      <c r="E15" s="13" t="s">
        <v>92</v>
      </c>
      <c r="F15" s="4"/>
    </row>
    <row r="19" ht="14.25">
      <c r="A19" s="17"/>
      <c r="B19" s="2" t="s">
        <v>20</v>
      </c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ht="14.25">
      <c r="A20" s="4"/>
      <c r="B20" s="1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4.25">
      <c r="A21" s="4"/>
      <c r="B21" s="13" t="s">
        <v>93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32.25" customHeight="1">
      <c r="A22" s="4"/>
      <c r="B22" s="20" t="s">
        <v>21</v>
      </c>
      <c r="C22" s="21" t="s">
        <v>22</v>
      </c>
      <c r="D22" s="22" t="s">
        <v>94</v>
      </c>
      <c r="E22" s="22"/>
      <c r="F22" s="23"/>
      <c r="G22" s="9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4.25">
      <c r="A23" s="4"/>
      <c r="B23" s="24"/>
      <c r="C23" s="25"/>
      <c r="D23" s="94" t="s">
        <v>87</v>
      </c>
      <c r="E23" s="94" t="s">
        <v>89</v>
      </c>
      <c r="F23" s="95" t="s">
        <v>91</v>
      </c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4.25">
      <c r="A24" s="4"/>
      <c r="B24" s="96" t="s">
        <v>27</v>
      </c>
      <c r="C24" s="29" t="s">
        <v>95</v>
      </c>
      <c r="D24" s="30">
        <v>1.3500000000000001</v>
      </c>
      <c r="E24" s="4">
        <v>0.85999999999999999</v>
      </c>
      <c r="F24" s="31">
        <v>0.85999999999999999</v>
      </c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4.25">
      <c r="A25" s="4"/>
      <c r="B25" s="96" t="s">
        <v>29</v>
      </c>
      <c r="C25" s="29" t="s">
        <v>96</v>
      </c>
      <c r="D25" s="30">
        <v>4.04</v>
      </c>
      <c r="E25" s="4">
        <v>1.72</v>
      </c>
      <c r="F25" s="32">
        <v>1.72</v>
      </c>
      <c r="I25" s="4"/>
      <c r="J25" s="4"/>
      <c r="K25" s="4"/>
      <c r="L25" s="4"/>
      <c r="M25" s="4"/>
      <c r="N25" s="4"/>
      <c r="O25" s="4"/>
      <c r="P25" s="4"/>
      <c r="Q25" s="4"/>
      <c r="R25" s="4"/>
    </row>
    <row r="26" ht="14.25">
      <c r="A26" s="4"/>
      <c r="B26" s="96" t="s">
        <v>31</v>
      </c>
      <c r="C26" s="29" t="s">
        <v>97</v>
      </c>
      <c r="D26" s="30">
        <v>8.0899999999999999</v>
      </c>
      <c r="E26" s="4">
        <v>3.4399999999999999</v>
      </c>
      <c r="F26" s="31">
        <v>3.4399999999999999</v>
      </c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4.25">
      <c r="A27" s="4"/>
      <c r="B27" s="96" t="s">
        <v>33</v>
      </c>
      <c r="C27" s="29" t="s">
        <v>98</v>
      </c>
      <c r="D27" s="30">
        <v>1.3500000000000001</v>
      </c>
      <c r="E27" s="4">
        <v>0.85999999999999999</v>
      </c>
      <c r="F27" s="31">
        <v>0.85999999999999999</v>
      </c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4.25">
      <c r="A28" s="4"/>
      <c r="B28" s="96" t="s">
        <v>35</v>
      </c>
      <c r="C28" s="29" t="s">
        <v>99</v>
      </c>
      <c r="D28" s="30">
        <v>4.04</v>
      </c>
      <c r="E28" s="4">
        <v>1.72</v>
      </c>
      <c r="F28" s="31">
        <v>1.72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4.25">
      <c r="A29" s="4"/>
      <c r="B29" s="44" t="s">
        <v>100</v>
      </c>
      <c r="C29" s="34" t="s">
        <v>101</v>
      </c>
      <c r="D29" s="97">
        <v>8.0899999999999999</v>
      </c>
      <c r="E29" s="98">
        <v>3.4399999999999999</v>
      </c>
      <c r="F29" s="99">
        <v>3.4399999999999999</v>
      </c>
      <c r="G29" s="13" t="s">
        <v>102</v>
      </c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4.25">
      <c r="A30" s="4"/>
      <c r="B30" s="13"/>
      <c r="C30" s="29"/>
      <c r="D30" s="30"/>
      <c r="E30" s="4"/>
      <c r="F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4.25">
      <c r="B31" s="13" t="s">
        <v>103</v>
      </c>
    </row>
    <row r="32" ht="14.25">
      <c r="B32" s="21" t="s">
        <v>104</v>
      </c>
      <c r="C32" s="21" t="s">
        <v>105</v>
      </c>
      <c r="D32" s="100" t="s">
        <v>106</v>
      </c>
      <c r="E32" s="101"/>
      <c r="F32" s="101"/>
    </row>
    <row r="33" ht="14.25">
      <c r="B33" s="102"/>
      <c r="C33" s="102"/>
      <c r="D33" s="103" t="s">
        <v>87</v>
      </c>
      <c r="E33" s="103" t="s">
        <v>89</v>
      </c>
      <c r="F33" s="104" t="s">
        <v>91</v>
      </c>
    </row>
    <row r="34" ht="14.25">
      <c r="B34" s="105" t="s">
        <v>107</v>
      </c>
      <c r="C34" s="106" t="s">
        <v>108</v>
      </c>
      <c r="D34" s="54">
        <v>38.890000000000001</v>
      </c>
      <c r="E34" s="54">
        <v>6.7199999999999998</v>
      </c>
      <c r="F34" s="54">
        <v>6.7199999999999998</v>
      </c>
    </row>
    <row r="35" ht="14.25">
      <c r="B35" s="107"/>
      <c r="C35" s="107"/>
      <c r="D35" s="29"/>
      <c r="E35" s="29"/>
      <c r="F35" s="29"/>
    </row>
    <row r="36" ht="14.25">
      <c r="B36" s="13" t="s">
        <v>109</v>
      </c>
      <c r="C36" s="107"/>
      <c r="D36" s="29"/>
      <c r="E36" s="29"/>
      <c r="F36" s="29"/>
    </row>
    <row r="37" ht="14.25">
      <c r="B37" s="21" t="s">
        <v>104</v>
      </c>
      <c r="C37" s="21" t="s">
        <v>105</v>
      </c>
      <c r="D37" s="21" t="s">
        <v>106</v>
      </c>
      <c r="E37" s="21"/>
      <c r="F37" s="21"/>
    </row>
    <row r="38" ht="14.25">
      <c r="B38" s="102"/>
      <c r="C38" s="102"/>
      <c r="D38" s="103" t="s">
        <v>87</v>
      </c>
      <c r="E38" s="103" t="s">
        <v>89</v>
      </c>
      <c r="F38" s="104" t="s">
        <v>91</v>
      </c>
    </row>
    <row r="39" ht="14.25">
      <c r="B39" s="108" t="s">
        <v>110</v>
      </c>
      <c r="C39" s="109" t="s">
        <v>111</v>
      </c>
      <c r="D39" s="110">
        <v>6.0999999999999996</v>
      </c>
      <c r="E39" s="110">
        <v>6.0999999999999996</v>
      </c>
      <c r="F39" s="110">
        <v>6.0999999999999996</v>
      </c>
      <c r="N39" s="111"/>
      <c r="O39" s="111"/>
      <c r="P39" s="111"/>
      <c r="Q39" s="111"/>
    </row>
    <row r="40" ht="14.25">
      <c r="B40" s="112" t="s">
        <v>112</v>
      </c>
      <c r="C40" s="113" t="s">
        <v>111</v>
      </c>
      <c r="D40" s="114">
        <v>7.4000000000000004</v>
      </c>
      <c r="E40" s="114">
        <v>7.4000000000000004</v>
      </c>
      <c r="F40" s="114">
        <v>7.4000000000000004</v>
      </c>
      <c r="N40" s="111"/>
      <c r="O40" s="111"/>
      <c r="P40" s="111"/>
      <c r="Q40" s="111"/>
    </row>
    <row r="41" ht="14.25">
      <c r="N41" s="111"/>
      <c r="O41" s="111"/>
      <c r="P41" s="111"/>
      <c r="Q41" s="111"/>
    </row>
    <row r="43" s="17" customFormat="1" ht="14.25">
      <c r="A43" s="17"/>
      <c r="B43" s="2" t="s">
        <v>42</v>
      </c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</row>
    <row r="44" ht="14.25">
      <c r="A44" s="4"/>
      <c r="B44" s="13"/>
      <c r="C44" s="4"/>
      <c r="J44" s="4"/>
      <c r="K44" s="4"/>
      <c r="L44" s="4"/>
      <c r="M44" s="4"/>
      <c r="N44" s="4"/>
      <c r="O44" s="4"/>
    </row>
    <row r="45" ht="14.25">
      <c r="A45" s="4"/>
      <c r="B45" s="13" t="s">
        <v>43</v>
      </c>
      <c r="C45" s="4"/>
      <c r="J45" s="4"/>
      <c r="K45" s="4"/>
      <c r="L45" s="4"/>
      <c r="M45" s="4"/>
      <c r="N45" s="4"/>
      <c r="O45" s="4"/>
    </row>
    <row r="46" ht="14.25">
      <c r="A46" s="4"/>
      <c r="C46" s="4"/>
      <c r="J46" s="4"/>
      <c r="K46" s="4"/>
      <c r="L46" s="4"/>
      <c r="M46" s="4"/>
      <c r="N46" s="4"/>
      <c r="O46" s="4"/>
    </row>
    <row r="47" ht="14.25">
      <c r="A47" s="4"/>
      <c r="B47" s="39"/>
      <c r="C47" s="101" t="s">
        <v>87</v>
      </c>
      <c r="D47" s="101" t="s">
        <v>89</v>
      </c>
      <c r="E47" s="101" t="s">
        <v>91</v>
      </c>
      <c r="J47" s="4"/>
      <c r="K47" s="4"/>
      <c r="L47" s="4"/>
      <c r="M47" s="4"/>
      <c r="N47" s="4"/>
      <c r="O47" s="4"/>
    </row>
    <row r="48" ht="14.25">
      <c r="A48" s="4"/>
      <c r="C48" s="107" t="s">
        <v>44</v>
      </c>
      <c r="D48" s="107" t="s">
        <v>44</v>
      </c>
      <c r="E48" s="107" t="s">
        <v>44</v>
      </c>
      <c r="J48" s="4"/>
      <c r="K48" s="4"/>
      <c r="L48" s="4"/>
      <c r="M48" s="4"/>
      <c r="N48" s="4"/>
      <c r="O48" s="4"/>
    </row>
    <row r="49" ht="14.25">
      <c r="A49" s="4"/>
      <c r="B49" s="115" t="s">
        <v>27</v>
      </c>
      <c r="C49" s="116">
        <f t="shared" ref="C49:C54" si="74">D24*(1000/100)*$C$2+(D$39+D$40)*(1000/100)*$C$2</f>
        <v>19.899000000000001</v>
      </c>
      <c r="D49" s="116">
        <f t="shared" ref="D49:D54" si="75">E24*(1000/100)*$C$2+(E$39+E$40)*(1000/100)*$C$2</f>
        <v>19.2424</v>
      </c>
      <c r="E49" s="116">
        <f t="shared" ref="E49:E54" si="76">F24*(1000/100)*$C$2+(F$39+F$40)*(1000/100)*$C$2</f>
        <v>19.2424</v>
      </c>
      <c r="F49" s="29"/>
      <c r="G49" s="29"/>
      <c r="J49" s="4"/>
      <c r="K49" s="4"/>
      <c r="L49" s="4"/>
      <c r="M49" s="4"/>
      <c r="N49" s="4"/>
      <c r="O49" s="4"/>
    </row>
    <row r="50" ht="14.25">
      <c r="A50" s="4"/>
      <c r="B50" s="117" t="s">
        <v>29</v>
      </c>
      <c r="C50" s="118">
        <f t="shared" si="74"/>
        <v>23.503599999999999</v>
      </c>
      <c r="D50" s="118">
        <f t="shared" si="75"/>
        <v>20.3948</v>
      </c>
      <c r="E50" s="118">
        <f t="shared" si="76"/>
        <v>20.3948</v>
      </c>
      <c r="F50" s="29"/>
      <c r="J50" s="4"/>
      <c r="K50" s="4"/>
      <c r="L50" s="4"/>
      <c r="M50" s="4"/>
      <c r="N50" s="4"/>
      <c r="O50" s="4"/>
    </row>
    <row r="51" ht="14.25">
      <c r="A51" s="4"/>
      <c r="B51" s="119" t="s">
        <v>31</v>
      </c>
      <c r="C51" s="120">
        <f t="shared" si="74"/>
        <v>28.930600000000002</v>
      </c>
      <c r="D51" s="120">
        <f t="shared" si="75"/>
        <v>22.6996</v>
      </c>
      <c r="E51" s="120">
        <f t="shared" si="76"/>
        <v>22.6996</v>
      </c>
      <c r="F51" s="29"/>
      <c r="J51" s="4"/>
      <c r="K51" s="4"/>
      <c r="L51" s="4"/>
      <c r="M51" s="4"/>
      <c r="N51" s="4"/>
      <c r="O51" s="4"/>
    </row>
    <row r="52" ht="14.25">
      <c r="A52" s="4"/>
      <c r="B52" s="121" t="s">
        <v>33</v>
      </c>
      <c r="C52" s="122">
        <f t="shared" si="74"/>
        <v>19.899000000000001</v>
      </c>
      <c r="D52" s="122">
        <f t="shared" si="75"/>
        <v>19.2424</v>
      </c>
      <c r="E52" s="122">
        <f t="shared" si="76"/>
        <v>19.2424</v>
      </c>
      <c r="F52" s="29"/>
      <c r="J52" s="4"/>
      <c r="K52" s="4"/>
      <c r="L52" s="4"/>
      <c r="M52" s="4"/>
      <c r="N52" s="4"/>
      <c r="O52" s="4"/>
    </row>
    <row r="53" ht="14.25">
      <c r="A53" s="4"/>
      <c r="B53" s="123" t="s">
        <v>35</v>
      </c>
      <c r="C53" s="124">
        <f t="shared" si="74"/>
        <v>23.503599999999999</v>
      </c>
      <c r="D53" s="124">
        <f t="shared" si="75"/>
        <v>20.3948</v>
      </c>
      <c r="E53" s="124">
        <f t="shared" si="76"/>
        <v>20.3948</v>
      </c>
      <c r="F53" s="29"/>
      <c r="J53" s="4"/>
      <c r="K53" s="4"/>
      <c r="L53" s="4"/>
      <c r="M53" s="4"/>
      <c r="N53" s="4"/>
      <c r="O53" s="4"/>
    </row>
    <row r="54" ht="14.25">
      <c r="A54" s="4"/>
      <c r="B54" s="125" t="s">
        <v>100</v>
      </c>
      <c r="C54" s="126">
        <f t="shared" si="74"/>
        <v>28.930600000000002</v>
      </c>
      <c r="D54" s="126">
        <f t="shared" si="75"/>
        <v>22.6996</v>
      </c>
      <c r="E54" s="126">
        <f t="shared" si="76"/>
        <v>22.6996</v>
      </c>
      <c r="F54" s="29"/>
      <c r="J54" s="4"/>
      <c r="K54" s="4"/>
      <c r="L54" s="4"/>
      <c r="M54" s="4"/>
      <c r="N54" s="4"/>
      <c r="O54" s="4"/>
    </row>
    <row r="55" ht="14.25">
      <c r="A55" s="4"/>
      <c r="C55" s="4"/>
      <c r="J55" s="4"/>
      <c r="K55" s="4"/>
      <c r="L55" s="4"/>
      <c r="M55" s="4"/>
      <c r="N55" s="4"/>
      <c r="O55" s="4"/>
    </row>
    <row r="56" ht="14.25">
      <c r="A56" s="4"/>
      <c r="B56" s="35"/>
      <c r="C56" s="127" t="s">
        <v>87</v>
      </c>
      <c r="D56" s="127"/>
      <c r="E56" s="127"/>
      <c r="F56" s="127"/>
      <c r="G56" s="127"/>
      <c r="H56" s="127"/>
      <c r="I56" s="127"/>
      <c r="J56" s="127"/>
      <c r="K56" s="127"/>
      <c r="L56" s="127"/>
      <c r="M56" s="127"/>
      <c r="N56" s="127"/>
      <c r="O56" s="4"/>
    </row>
    <row r="57" ht="14.25">
      <c r="A57" s="31"/>
      <c r="B57" s="69"/>
      <c r="C57" s="42" t="s">
        <v>45</v>
      </c>
      <c r="D57" s="101" t="s">
        <v>46</v>
      </c>
      <c r="E57" s="101" t="s">
        <v>47</v>
      </c>
      <c r="F57" s="101" t="s">
        <v>48</v>
      </c>
      <c r="G57" s="101" t="s">
        <v>49</v>
      </c>
      <c r="H57" s="101" t="s">
        <v>50</v>
      </c>
      <c r="I57" s="101" t="s">
        <v>51</v>
      </c>
      <c r="J57" s="101" t="s">
        <v>52</v>
      </c>
      <c r="K57" s="101" t="s">
        <v>53</v>
      </c>
      <c r="L57" s="101" t="s">
        <v>54</v>
      </c>
      <c r="M57" s="101" t="s">
        <v>55</v>
      </c>
      <c r="N57" s="43" t="s">
        <v>56</v>
      </c>
      <c r="O57" s="4"/>
    </row>
    <row r="58" ht="14.25">
      <c r="A58" s="31"/>
      <c r="B58" s="128" t="s">
        <v>57</v>
      </c>
      <c r="C58" s="129">
        <f t="shared" ref="C58:C63" si="77">$C$49</f>
        <v>19.899000000000001</v>
      </c>
      <c r="D58" s="116">
        <f t="shared" ref="D58:D63" si="78">$C$49</f>
        <v>19.899000000000001</v>
      </c>
      <c r="E58" s="116">
        <f t="shared" ref="E58:E63" si="79">$C$49</f>
        <v>19.899000000000001</v>
      </c>
      <c r="F58" s="130">
        <f t="shared" ref="F58:F63" si="80">$C$52</f>
        <v>19.899000000000001</v>
      </c>
      <c r="G58" s="130">
        <f t="shared" ref="G58:G63" si="81">$C$52</f>
        <v>19.899000000000001</v>
      </c>
      <c r="H58" s="130">
        <f t="shared" ref="H58:H63" si="82">$C$52</f>
        <v>19.899000000000001</v>
      </c>
      <c r="I58" s="130">
        <f t="shared" ref="I58:I63" si="83">$C$52</f>
        <v>19.899000000000001</v>
      </c>
      <c r="J58" s="130">
        <f t="shared" ref="J58:J63" si="84">$C$52</f>
        <v>19.899000000000001</v>
      </c>
      <c r="K58" s="130">
        <f t="shared" ref="K58:K63" si="85">$C$52</f>
        <v>19.899000000000001</v>
      </c>
      <c r="L58" s="116">
        <f t="shared" ref="L58:L63" si="86">$C$49</f>
        <v>19.899000000000001</v>
      </c>
      <c r="M58" s="116">
        <f t="shared" ref="M58:M63" si="87">$C$49</f>
        <v>19.899000000000001</v>
      </c>
      <c r="N58" s="131">
        <f t="shared" ref="N58:N63" si="88">$C$49</f>
        <v>19.899000000000001</v>
      </c>
      <c r="O58" s="4"/>
    </row>
    <row r="59" ht="14.25">
      <c r="A59" s="31"/>
      <c r="B59" s="132" t="s">
        <v>58</v>
      </c>
      <c r="C59" s="133">
        <f t="shared" si="77"/>
        <v>19.899000000000001</v>
      </c>
      <c r="D59" s="134">
        <f t="shared" si="78"/>
        <v>19.899000000000001</v>
      </c>
      <c r="E59" s="134">
        <f t="shared" si="79"/>
        <v>19.899000000000001</v>
      </c>
      <c r="F59" s="122">
        <f t="shared" si="80"/>
        <v>19.899000000000001</v>
      </c>
      <c r="G59" s="122">
        <f t="shared" si="81"/>
        <v>19.899000000000001</v>
      </c>
      <c r="H59" s="122">
        <f t="shared" si="82"/>
        <v>19.899000000000001</v>
      </c>
      <c r="I59" s="122">
        <f t="shared" si="83"/>
        <v>19.899000000000001</v>
      </c>
      <c r="J59" s="122">
        <f t="shared" si="84"/>
        <v>19.899000000000001</v>
      </c>
      <c r="K59" s="122">
        <f t="shared" si="85"/>
        <v>19.899000000000001</v>
      </c>
      <c r="L59" s="134">
        <f t="shared" si="86"/>
        <v>19.899000000000001</v>
      </c>
      <c r="M59" s="134">
        <f t="shared" si="87"/>
        <v>19.899000000000001</v>
      </c>
      <c r="N59" s="135">
        <f t="shared" si="88"/>
        <v>19.899000000000001</v>
      </c>
      <c r="O59" s="4"/>
    </row>
    <row r="60" ht="14.25">
      <c r="A60" s="31"/>
      <c r="B60" s="132" t="s">
        <v>59</v>
      </c>
      <c r="C60" s="133">
        <f t="shared" si="77"/>
        <v>19.899000000000001</v>
      </c>
      <c r="D60" s="134">
        <f t="shared" si="78"/>
        <v>19.899000000000001</v>
      </c>
      <c r="E60" s="134">
        <f t="shared" si="79"/>
        <v>19.899000000000001</v>
      </c>
      <c r="F60" s="122">
        <f t="shared" si="80"/>
        <v>19.899000000000001</v>
      </c>
      <c r="G60" s="122">
        <f t="shared" si="81"/>
        <v>19.899000000000001</v>
      </c>
      <c r="H60" s="122">
        <f t="shared" si="82"/>
        <v>19.899000000000001</v>
      </c>
      <c r="I60" s="122">
        <f t="shared" si="83"/>
        <v>19.899000000000001</v>
      </c>
      <c r="J60" s="122">
        <f t="shared" si="84"/>
        <v>19.899000000000001</v>
      </c>
      <c r="K60" s="122">
        <f t="shared" si="85"/>
        <v>19.899000000000001</v>
      </c>
      <c r="L60" s="134">
        <f t="shared" si="86"/>
        <v>19.899000000000001</v>
      </c>
      <c r="M60" s="134">
        <f t="shared" si="87"/>
        <v>19.899000000000001</v>
      </c>
      <c r="N60" s="135">
        <f t="shared" si="88"/>
        <v>19.899000000000001</v>
      </c>
      <c r="O60" s="4"/>
    </row>
    <row r="61" ht="14.25">
      <c r="A61" s="31"/>
      <c r="B61" s="132" t="s">
        <v>60</v>
      </c>
      <c r="C61" s="133">
        <f t="shared" si="77"/>
        <v>19.899000000000001</v>
      </c>
      <c r="D61" s="134">
        <f t="shared" si="78"/>
        <v>19.899000000000001</v>
      </c>
      <c r="E61" s="134">
        <f t="shared" si="79"/>
        <v>19.899000000000001</v>
      </c>
      <c r="F61" s="122">
        <f t="shared" si="80"/>
        <v>19.899000000000001</v>
      </c>
      <c r="G61" s="122">
        <f t="shared" si="81"/>
        <v>19.899000000000001</v>
      </c>
      <c r="H61" s="122">
        <f t="shared" si="82"/>
        <v>19.899000000000001</v>
      </c>
      <c r="I61" s="122">
        <f t="shared" si="83"/>
        <v>19.899000000000001</v>
      </c>
      <c r="J61" s="122">
        <f t="shared" si="84"/>
        <v>19.899000000000001</v>
      </c>
      <c r="K61" s="122">
        <f t="shared" si="85"/>
        <v>19.899000000000001</v>
      </c>
      <c r="L61" s="134">
        <f t="shared" si="86"/>
        <v>19.899000000000001</v>
      </c>
      <c r="M61" s="134">
        <f t="shared" si="87"/>
        <v>19.899000000000001</v>
      </c>
      <c r="N61" s="135">
        <f t="shared" si="88"/>
        <v>19.899000000000001</v>
      </c>
      <c r="O61" s="4"/>
    </row>
    <row r="62" ht="14.25">
      <c r="A62" s="32"/>
      <c r="B62" s="132" t="s">
        <v>61</v>
      </c>
      <c r="C62" s="133">
        <f t="shared" si="77"/>
        <v>19.899000000000001</v>
      </c>
      <c r="D62" s="134">
        <f t="shared" si="78"/>
        <v>19.899000000000001</v>
      </c>
      <c r="E62" s="134">
        <f t="shared" si="79"/>
        <v>19.899000000000001</v>
      </c>
      <c r="F62" s="122">
        <f t="shared" si="80"/>
        <v>19.899000000000001</v>
      </c>
      <c r="G62" s="122">
        <f t="shared" si="81"/>
        <v>19.899000000000001</v>
      </c>
      <c r="H62" s="122">
        <f t="shared" si="82"/>
        <v>19.899000000000001</v>
      </c>
      <c r="I62" s="122">
        <f t="shared" si="83"/>
        <v>19.899000000000001</v>
      </c>
      <c r="J62" s="122">
        <f t="shared" si="84"/>
        <v>19.899000000000001</v>
      </c>
      <c r="K62" s="122">
        <f t="shared" si="85"/>
        <v>19.899000000000001</v>
      </c>
      <c r="L62" s="134">
        <f t="shared" si="86"/>
        <v>19.899000000000001</v>
      </c>
      <c r="M62" s="134">
        <f t="shared" si="87"/>
        <v>19.899000000000001</v>
      </c>
      <c r="N62" s="135">
        <f t="shared" si="88"/>
        <v>19.899000000000001</v>
      </c>
      <c r="O62" s="4"/>
    </row>
    <row r="63" ht="14.25">
      <c r="A63" s="31"/>
      <c r="B63" s="132" t="s">
        <v>62</v>
      </c>
      <c r="C63" s="133">
        <f t="shared" si="77"/>
        <v>19.899000000000001</v>
      </c>
      <c r="D63" s="134">
        <f t="shared" si="78"/>
        <v>19.899000000000001</v>
      </c>
      <c r="E63" s="134">
        <f t="shared" si="79"/>
        <v>19.899000000000001</v>
      </c>
      <c r="F63" s="122">
        <f t="shared" si="80"/>
        <v>19.899000000000001</v>
      </c>
      <c r="G63" s="122">
        <f t="shared" si="81"/>
        <v>19.899000000000001</v>
      </c>
      <c r="H63" s="122">
        <f t="shared" si="82"/>
        <v>19.899000000000001</v>
      </c>
      <c r="I63" s="122">
        <f t="shared" si="83"/>
        <v>19.899000000000001</v>
      </c>
      <c r="J63" s="122">
        <f t="shared" si="84"/>
        <v>19.899000000000001</v>
      </c>
      <c r="K63" s="122">
        <f t="shared" si="85"/>
        <v>19.899000000000001</v>
      </c>
      <c r="L63" s="134">
        <f t="shared" si="86"/>
        <v>19.899000000000001</v>
      </c>
      <c r="M63" s="134">
        <f t="shared" si="87"/>
        <v>19.899000000000001</v>
      </c>
      <c r="N63" s="135">
        <f t="shared" si="88"/>
        <v>19.899000000000001</v>
      </c>
      <c r="O63" s="4"/>
    </row>
    <row r="64" ht="14.25">
      <c r="A64" s="31"/>
      <c r="B64" s="132" t="s">
        <v>63</v>
      </c>
      <c r="C64" s="136">
        <f t="shared" ref="C64:C78" si="89">$C$51</f>
        <v>28.930600000000002</v>
      </c>
      <c r="D64" s="120">
        <f t="shared" ref="D64:D78" si="90">$C$51</f>
        <v>28.930600000000002</v>
      </c>
      <c r="E64" s="120">
        <f t="shared" ref="E64:E78" si="91">$C$51</f>
        <v>28.930600000000002</v>
      </c>
      <c r="F64" s="124">
        <f t="shared" ref="F64:F81" si="92">$C$53</f>
        <v>23.503599999999999</v>
      </c>
      <c r="G64" s="124">
        <f t="shared" ref="G64:G81" si="93">$C$53</f>
        <v>23.503599999999999</v>
      </c>
      <c r="H64" s="124">
        <f t="shared" ref="H64:H81" si="94">$C$53</f>
        <v>23.503599999999999</v>
      </c>
      <c r="I64" s="124">
        <f t="shared" ref="I64:I81" si="95">$C$53</f>
        <v>23.503599999999999</v>
      </c>
      <c r="J64" s="124">
        <f t="shared" ref="J64:J81" si="96">$C$53</f>
        <v>23.503599999999999</v>
      </c>
      <c r="K64" s="124">
        <f t="shared" ref="K64:K81" si="97">$C$53</f>
        <v>23.503599999999999</v>
      </c>
      <c r="L64" s="120">
        <f t="shared" ref="L64:L78" si="98">$C$51</f>
        <v>28.930600000000002</v>
      </c>
      <c r="M64" s="120">
        <f t="shared" ref="M64:M78" si="99">$C$51</f>
        <v>28.930600000000002</v>
      </c>
      <c r="N64" s="137">
        <f t="shared" ref="N64:N78" si="100">$C$51</f>
        <v>28.930600000000002</v>
      </c>
      <c r="O64" s="4"/>
    </row>
    <row r="65" ht="14.25">
      <c r="A65" s="32"/>
      <c r="B65" s="132" t="s">
        <v>64</v>
      </c>
      <c r="C65" s="136">
        <f t="shared" si="89"/>
        <v>28.930600000000002</v>
      </c>
      <c r="D65" s="120">
        <f t="shared" si="90"/>
        <v>28.930600000000002</v>
      </c>
      <c r="E65" s="120">
        <f t="shared" si="91"/>
        <v>28.930600000000002</v>
      </c>
      <c r="F65" s="124">
        <f t="shared" si="92"/>
        <v>23.503599999999999</v>
      </c>
      <c r="G65" s="124">
        <f t="shared" si="93"/>
        <v>23.503599999999999</v>
      </c>
      <c r="H65" s="124">
        <f t="shared" si="94"/>
        <v>23.503599999999999</v>
      </c>
      <c r="I65" s="124">
        <f t="shared" si="95"/>
        <v>23.503599999999999</v>
      </c>
      <c r="J65" s="124">
        <f t="shared" si="96"/>
        <v>23.503599999999999</v>
      </c>
      <c r="K65" s="124">
        <f t="shared" si="97"/>
        <v>23.503599999999999</v>
      </c>
      <c r="L65" s="120">
        <f t="shared" si="98"/>
        <v>28.930600000000002</v>
      </c>
      <c r="M65" s="120">
        <f t="shared" si="99"/>
        <v>28.930600000000002</v>
      </c>
      <c r="N65" s="137">
        <f t="shared" si="100"/>
        <v>28.930600000000002</v>
      </c>
      <c r="O65" s="4"/>
    </row>
    <row r="66" ht="14.25">
      <c r="A66" s="31"/>
      <c r="B66" s="132" t="s">
        <v>65</v>
      </c>
      <c r="C66" s="136">
        <f t="shared" si="89"/>
        <v>28.930600000000002</v>
      </c>
      <c r="D66" s="120">
        <f t="shared" si="90"/>
        <v>28.930600000000002</v>
      </c>
      <c r="E66" s="120">
        <f t="shared" si="91"/>
        <v>28.930600000000002</v>
      </c>
      <c r="F66" s="124">
        <f t="shared" si="92"/>
        <v>23.503599999999999</v>
      </c>
      <c r="G66" s="124">
        <f t="shared" si="93"/>
        <v>23.503599999999999</v>
      </c>
      <c r="H66" s="124">
        <f t="shared" si="94"/>
        <v>23.503599999999999</v>
      </c>
      <c r="I66" s="124">
        <f t="shared" si="95"/>
        <v>23.503599999999999</v>
      </c>
      <c r="J66" s="124">
        <f t="shared" si="96"/>
        <v>23.503599999999999</v>
      </c>
      <c r="K66" s="124">
        <f t="shared" si="97"/>
        <v>23.503599999999999</v>
      </c>
      <c r="L66" s="120">
        <f t="shared" si="98"/>
        <v>28.930600000000002</v>
      </c>
      <c r="M66" s="120">
        <f t="shared" si="99"/>
        <v>28.930600000000002</v>
      </c>
      <c r="N66" s="137">
        <f t="shared" si="100"/>
        <v>28.930600000000002</v>
      </c>
      <c r="O66" s="4"/>
    </row>
    <row r="67" ht="14.25">
      <c r="A67" s="31"/>
      <c r="B67" s="132" t="s">
        <v>66</v>
      </c>
      <c r="C67" s="136">
        <f t="shared" si="89"/>
        <v>28.930600000000002</v>
      </c>
      <c r="D67" s="120">
        <f t="shared" si="90"/>
        <v>28.930600000000002</v>
      </c>
      <c r="E67" s="120">
        <f t="shared" si="91"/>
        <v>28.930600000000002</v>
      </c>
      <c r="F67" s="124">
        <f t="shared" si="92"/>
        <v>23.503599999999999</v>
      </c>
      <c r="G67" s="124">
        <f t="shared" si="93"/>
        <v>23.503599999999999</v>
      </c>
      <c r="H67" s="124">
        <f t="shared" si="94"/>
        <v>23.503599999999999</v>
      </c>
      <c r="I67" s="124">
        <f t="shared" si="95"/>
        <v>23.503599999999999</v>
      </c>
      <c r="J67" s="124">
        <f t="shared" si="96"/>
        <v>23.503599999999999</v>
      </c>
      <c r="K67" s="124">
        <f t="shared" si="97"/>
        <v>23.503599999999999</v>
      </c>
      <c r="L67" s="120">
        <f t="shared" si="98"/>
        <v>28.930600000000002</v>
      </c>
      <c r="M67" s="120">
        <f t="shared" si="99"/>
        <v>28.930600000000002</v>
      </c>
      <c r="N67" s="137">
        <f t="shared" si="100"/>
        <v>28.930600000000002</v>
      </c>
      <c r="O67" s="4"/>
    </row>
    <row r="68" ht="14.25">
      <c r="A68" s="31"/>
      <c r="B68" s="132" t="s">
        <v>67</v>
      </c>
      <c r="C68" s="136">
        <f t="shared" si="89"/>
        <v>28.930600000000002</v>
      </c>
      <c r="D68" s="120">
        <f t="shared" si="90"/>
        <v>28.930600000000002</v>
      </c>
      <c r="E68" s="120">
        <f t="shared" si="91"/>
        <v>28.930600000000002</v>
      </c>
      <c r="F68" s="124">
        <f t="shared" si="92"/>
        <v>23.503599999999999</v>
      </c>
      <c r="G68" s="124">
        <f t="shared" si="93"/>
        <v>23.503599999999999</v>
      </c>
      <c r="H68" s="124">
        <f t="shared" si="94"/>
        <v>23.503599999999999</v>
      </c>
      <c r="I68" s="124">
        <f t="shared" si="95"/>
        <v>23.503599999999999</v>
      </c>
      <c r="J68" s="124">
        <f t="shared" si="96"/>
        <v>23.503599999999999</v>
      </c>
      <c r="K68" s="124">
        <f t="shared" si="97"/>
        <v>23.503599999999999</v>
      </c>
      <c r="L68" s="120">
        <f t="shared" si="98"/>
        <v>28.930600000000002</v>
      </c>
      <c r="M68" s="120">
        <f t="shared" si="99"/>
        <v>28.930600000000002</v>
      </c>
      <c r="N68" s="137">
        <f t="shared" si="100"/>
        <v>28.930600000000002</v>
      </c>
      <c r="O68" s="4"/>
    </row>
    <row r="69" ht="14.25">
      <c r="A69" s="31"/>
      <c r="B69" s="132" t="s">
        <v>68</v>
      </c>
      <c r="C69" s="136">
        <f t="shared" si="89"/>
        <v>28.930600000000002</v>
      </c>
      <c r="D69" s="120">
        <f t="shared" si="90"/>
        <v>28.930600000000002</v>
      </c>
      <c r="E69" s="120">
        <f t="shared" si="91"/>
        <v>28.930600000000002</v>
      </c>
      <c r="F69" s="124">
        <f t="shared" si="92"/>
        <v>23.503599999999999</v>
      </c>
      <c r="G69" s="124">
        <f t="shared" si="93"/>
        <v>23.503599999999999</v>
      </c>
      <c r="H69" s="124">
        <f t="shared" si="94"/>
        <v>23.503599999999999</v>
      </c>
      <c r="I69" s="124">
        <f t="shared" si="95"/>
        <v>23.503599999999999</v>
      </c>
      <c r="J69" s="124">
        <f t="shared" si="96"/>
        <v>23.503599999999999</v>
      </c>
      <c r="K69" s="124">
        <f t="shared" si="97"/>
        <v>23.503599999999999</v>
      </c>
      <c r="L69" s="120">
        <f t="shared" si="98"/>
        <v>28.930600000000002</v>
      </c>
      <c r="M69" s="120">
        <f t="shared" si="99"/>
        <v>28.930600000000002</v>
      </c>
      <c r="N69" s="137">
        <f t="shared" si="100"/>
        <v>28.930600000000002</v>
      </c>
      <c r="O69" s="4"/>
    </row>
    <row r="70" ht="14.25">
      <c r="A70" s="31"/>
      <c r="B70" s="132" t="s">
        <v>69</v>
      </c>
      <c r="C70" s="136">
        <f t="shared" si="89"/>
        <v>28.930600000000002</v>
      </c>
      <c r="D70" s="120">
        <f t="shared" si="90"/>
        <v>28.930600000000002</v>
      </c>
      <c r="E70" s="120">
        <f t="shared" si="91"/>
        <v>28.930600000000002</v>
      </c>
      <c r="F70" s="124">
        <f t="shared" si="92"/>
        <v>23.503599999999999</v>
      </c>
      <c r="G70" s="124">
        <f t="shared" si="93"/>
        <v>23.503599999999999</v>
      </c>
      <c r="H70" s="124">
        <f t="shared" si="94"/>
        <v>23.503599999999999</v>
      </c>
      <c r="I70" s="124">
        <f t="shared" si="95"/>
        <v>23.503599999999999</v>
      </c>
      <c r="J70" s="124">
        <f t="shared" si="96"/>
        <v>23.503599999999999</v>
      </c>
      <c r="K70" s="124">
        <f t="shared" si="97"/>
        <v>23.503599999999999</v>
      </c>
      <c r="L70" s="120">
        <f t="shared" si="98"/>
        <v>28.930600000000002</v>
      </c>
      <c r="M70" s="120">
        <f t="shared" si="99"/>
        <v>28.930600000000002</v>
      </c>
      <c r="N70" s="137">
        <f t="shared" si="100"/>
        <v>28.930600000000002</v>
      </c>
      <c r="O70" s="4"/>
    </row>
    <row r="71" ht="14.25">
      <c r="A71" s="31"/>
      <c r="B71" s="132" t="s">
        <v>70</v>
      </c>
      <c r="C71" s="136">
        <f t="shared" si="89"/>
        <v>28.930600000000002</v>
      </c>
      <c r="D71" s="120">
        <f t="shared" si="90"/>
        <v>28.930600000000002</v>
      </c>
      <c r="E71" s="120">
        <f t="shared" si="91"/>
        <v>28.930600000000002</v>
      </c>
      <c r="F71" s="124">
        <f t="shared" si="92"/>
        <v>23.503599999999999</v>
      </c>
      <c r="G71" s="124">
        <f t="shared" si="93"/>
        <v>23.503599999999999</v>
      </c>
      <c r="H71" s="124">
        <f t="shared" si="94"/>
        <v>23.503599999999999</v>
      </c>
      <c r="I71" s="124">
        <f t="shared" si="95"/>
        <v>23.503599999999999</v>
      </c>
      <c r="J71" s="124">
        <f t="shared" si="96"/>
        <v>23.503599999999999</v>
      </c>
      <c r="K71" s="124">
        <f t="shared" si="97"/>
        <v>23.503599999999999</v>
      </c>
      <c r="L71" s="120">
        <f t="shared" si="98"/>
        <v>28.930600000000002</v>
      </c>
      <c r="M71" s="120">
        <f t="shared" si="99"/>
        <v>28.930600000000002</v>
      </c>
      <c r="N71" s="137">
        <f t="shared" si="100"/>
        <v>28.930600000000002</v>
      </c>
      <c r="O71" s="4"/>
    </row>
    <row r="72" ht="14.25">
      <c r="A72" s="31"/>
      <c r="B72" s="132" t="s">
        <v>71</v>
      </c>
      <c r="C72" s="136">
        <f t="shared" si="89"/>
        <v>28.930600000000002</v>
      </c>
      <c r="D72" s="120">
        <f t="shared" si="90"/>
        <v>28.930600000000002</v>
      </c>
      <c r="E72" s="120">
        <f t="shared" si="91"/>
        <v>28.930600000000002</v>
      </c>
      <c r="F72" s="124">
        <f t="shared" si="92"/>
        <v>23.503599999999999</v>
      </c>
      <c r="G72" s="124">
        <f t="shared" si="93"/>
        <v>23.503599999999999</v>
      </c>
      <c r="H72" s="124">
        <f t="shared" si="94"/>
        <v>23.503599999999999</v>
      </c>
      <c r="I72" s="124">
        <f t="shared" si="95"/>
        <v>23.503599999999999</v>
      </c>
      <c r="J72" s="124">
        <f t="shared" si="96"/>
        <v>23.503599999999999</v>
      </c>
      <c r="K72" s="124">
        <f t="shared" si="97"/>
        <v>23.503599999999999</v>
      </c>
      <c r="L72" s="120">
        <f t="shared" si="98"/>
        <v>28.930600000000002</v>
      </c>
      <c r="M72" s="120">
        <f t="shared" si="99"/>
        <v>28.930600000000002</v>
      </c>
      <c r="N72" s="137">
        <f t="shared" si="100"/>
        <v>28.930600000000002</v>
      </c>
      <c r="O72" s="4"/>
    </row>
    <row r="73" ht="14.25">
      <c r="A73" s="31"/>
      <c r="B73" s="132" t="s">
        <v>72</v>
      </c>
      <c r="C73" s="136">
        <f t="shared" si="89"/>
        <v>28.930600000000002</v>
      </c>
      <c r="D73" s="120">
        <f t="shared" si="90"/>
        <v>28.930600000000002</v>
      </c>
      <c r="E73" s="120">
        <f t="shared" si="91"/>
        <v>28.930600000000002</v>
      </c>
      <c r="F73" s="124">
        <f t="shared" si="92"/>
        <v>23.503599999999999</v>
      </c>
      <c r="G73" s="124">
        <f t="shared" si="93"/>
        <v>23.503599999999999</v>
      </c>
      <c r="H73" s="124">
        <f t="shared" si="94"/>
        <v>23.503599999999999</v>
      </c>
      <c r="I73" s="124">
        <f t="shared" si="95"/>
        <v>23.503599999999999</v>
      </c>
      <c r="J73" s="124">
        <f t="shared" si="96"/>
        <v>23.503599999999999</v>
      </c>
      <c r="K73" s="124">
        <f t="shared" si="97"/>
        <v>23.503599999999999</v>
      </c>
      <c r="L73" s="120">
        <f t="shared" si="98"/>
        <v>28.930600000000002</v>
      </c>
      <c r="M73" s="120">
        <f t="shared" si="99"/>
        <v>28.930600000000002</v>
      </c>
      <c r="N73" s="137">
        <f t="shared" si="100"/>
        <v>28.930600000000002</v>
      </c>
      <c r="O73" s="4"/>
    </row>
    <row r="74" ht="14.25">
      <c r="A74" s="31"/>
      <c r="B74" s="132" t="s">
        <v>73</v>
      </c>
      <c r="C74" s="136">
        <f t="shared" si="89"/>
        <v>28.930600000000002</v>
      </c>
      <c r="D74" s="120">
        <f t="shared" si="90"/>
        <v>28.930600000000002</v>
      </c>
      <c r="E74" s="120">
        <f t="shared" si="91"/>
        <v>28.930600000000002</v>
      </c>
      <c r="F74" s="124">
        <f t="shared" si="92"/>
        <v>23.503599999999999</v>
      </c>
      <c r="G74" s="124">
        <f t="shared" si="93"/>
        <v>23.503599999999999</v>
      </c>
      <c r="H74" s="124">
        <f t="shared" si="94"/>
        <v>23.503599999999999</v>
      </c>
      <c r="I74" s="124">
        <f t="shared" si="95"/>
        <v>23.503599999999999</v>
      </c>
      <c r="J74" s="124">
        <f t="shared" si="96"/>
        <v>23.503599999999999</v>
      </c>
      <c r="K74" s="124">
        <f t="shared" si="97"/>
        <v>23.503599999999999</v>
      </c>
      <c r="L74" s="120">
        <f t="shared" si="98"/>
        <v>28.930600000000002</v>
      </c>
      <c r="M74" s="120">
        <f t="shared" si="99"/>
        <v>28.930600000000002</v>
      </c>
      <c r="N74" s="137">
        <f t="shared" si="100"/>
        <v>28.930600000000002</v>
      </c>
      <c r="O74" s="4"/>
    </row>
    <row r="75" ht="14.25">
      <c r="A75" s="31"/>
      <c r="B75" s="132" t="s">
        <v>74</v>
      </c>
      <c r="C75" s="136">
        <f t="shared" si="89"/>
        <v>28.930600000000002</v>
      </c>
      <c r="D75" s="120">
        <f t="shared" si="90"/>
        <v>28.930600000000002</v>
      </c>
      <c r="E75" s="120">
        <f t="shared" si="91"/>
        <v>28.930600000000002</v>
      </c>
      <c r="F75" s="124">
        <f t="shared" si="92"/>
        <v>23.503599999999999</v>
      </c>
      <c r="G75" s="124">
        <f t="shared" si="93"/>
        <v>23.503599999999999</v>
      </c>
      <c r="H75" s="124">
        <f t="shared" si="94"/>
        <v>23.503599999999999</v>
      </c>
      <c r="I75" s="124">
        <f t="shared" si="95"/>
        <v>23.503599999999999</v>
      </c>
      <c r="J75" s="124">
        <f t="shared" si="96"/>
        <v>23.503599999999999</v>
      </c>
      <c r="K75" s="124">
        <f t="shared" si="97"/>
        <v>23.503599999999999</v>
      </c>
      <c r="L75" s="120">
        <f t="shared" si="98"/>
        <v>28.930600000000002</v>
      </c>
      <c r="M75" s="120">
        <f t="shared" si="99"/>
        <v>28.930600000000002</v>
      </c>
      <c r="N75" s="137">
        <f t="shared" si="100"/>
        <v>28.930600000000002</v>
      </c>
      <c r="O75" s="4"/>
    </row>
    <row r="76" ht="14.25">
      <c r="A76" s="31"/>
      <c r="B76" s="132" t="s">
        <v>75</v>
      </c>
      <c r="C76" s="136">
        <f t="shared" si="89"/>
        <v>28.930600000000002</v>
      </c>
      <c r="D76" s="120">
        <f t="shared" si="90"/>
        <v>28.930600000000002</v>
      </c>
      <c r="E76" s="120">
        <f t="shared" si="91"/>
        <v>28.930600000000002</v>
      </c>
      <c r="F76" s="124">
        <f t="shared" si="92"/>
        <v>23.503599999999999</v>
      </c>
      <c r="G76" s="124">
        <f t="shared" si="93"/>
        <v>23.503599999999999</v>
      </c>
      <c r="H76" s="124">
        <f t="shared" si="94"/>
        <v>23.503599999999999</v>
      </c>
      <c r="I76" s="124">
        <f t="shared" si="95"/>
        <v>23.503599999999999</v>
      </c>
      <c r="J76" s="124">
        <f t="shared" si="96"/>
        <v>23.503599999999999</v>
      </c>
      <c r="K76" s="124">
        <f t="shared" si="97"/>
        <v>23.503599999999999</v>
      </c>
      <c r="L76" s="120">
        <f t="shared" si="98"/>
        <v>28.930600000000002</v>
      </c>
      <c r="M76" s="120">
        <f t="shared" si="99"/>
        <v>28.930600000000002</v>
      </c>
      <c r="N76" s="137">
        <f t="shared" si="100"/>
        <v>28.930600000000002</v>
      </c>
      <c r="O76" s="4"/>
    </row>
    <row r="77" ht="14.25">
      <c r="A77" s="31"/>
      <c r="B77" s="132" t="s">
        <v>76</v>
      </c>
      <c r="C77" s="136">
        <f t="shared" si="89"/>
        <v>28.930600000000002</v>
      </c>
      <c r="D77" s="120">
        <f t="shared" si="90"/>
        <v>28.930600000000002</v>
      </c>
      <c r="E77" s="120">
        <f t="shared" si="91"/>
        <v>28.930600000000002</v>
      </c>
      <c r="F77" s="124">
        <f t="shared" si="92"/>
        <v>23.503599999999999</v>
      </c>
      <c r="G77" s="124">
        <f t="shared" si="93"/>
        <v>23.503599999999999</v>
      </c>
      <c r="H77" s="124">
        <f t="shared" si="94"/>
        <v>23.503599999999999</v>
      </c>
      <c r="I77" s="124">
        <f t="shared" si="95"/>
        <v>23.503599999999999</v>
      </c>
      <c r="J77" s="124">
        <f t="shared" si="96"/>
        <v>23.503599999999999</v>
      </c>
      <c r="K77" s="124">
        <f t="shared" si="97"/>
        <v>23.503599999999999</v>
      </c>
      <c r="L77" s="120">
        <f t="shared" si="98"/>
        <v>28.930600000000002</v>
      </c>
      <c r="M77" s="120">
        <f t="shared" si="99"/>
        <v>28.930600000000002</v>
      </c>
      <c r="N77" s="137">
        <f t="shared" si="100"/>
        <v>28.930600000000002</v>
      </c>
      <c r="O77" s="4"/>
    </row>
    <row r="78" ht="14.25">
      <c r="A78" s="31"/>
      <c r="B78" s="132" t="s">
        <v>77</v>
      </c>
      <c r="C78" s="136">
        <f t="shared" si="89"/>
        <v>28.930600000000002</v>
      </c>
      <c r="D78" s="120">
        <f t="shared" si="90"/>
        <v>28.930600000000002</v>
      </c>
      <c r="E78" s="120">
        <f t="shared" si="91"/>
        <v>28.930600000000002</v>
      </c>
      <c r="F78" s="124">
        <f t="shared" si="92"/>
        <v>23.503599999999999</v>
      </c>
      <c r="G78" s="124">
        <f t="shared" si="93"/>
        <v>23.503599999999999</v>
      </c>
      <c r="H78" s="124">
        <f t="shared" si="94"/>
        <v>23.503599999999999</v>
      </c>
      <c r="I78" s="124">
        <f t="shared" si="95"/>
        <v>23.503599999999999</v>
      </c>
      <c r="J78" s="124">
        <f t="shared" si="96"/>
        <v>23.503599999999999</v>
      </c>
      <c r="K78" s="124">
        <f t="shared" si="97"/>
        <v>23.503599999999999</v>
      </c>
      <c r="L78" s="120">
        <f t="shared" si="98"/>
        <v>28.930600000000002</v>
      </c>
      <c r="M78" s="120">
        <f t="shared" si="99"/>
        <v>28.930600000000002</v>
      </c>
      <c r="N78" s="137">
        <f t="shared" si="100"/>
        <v>28.930600000000002</v>
      </c>
      <c r="O78" s="4"/>
    </row>
    <row r="79" ht="14.25">
      <c r="A79" s="31"/>
      <c r="B79" s="132" t="s">
        <v>78</v>
      </c>
      <c r="C79" s="138">
        <f t="shared" ref="C79:C81" si="101">$C$50</f>
        <v>23.503599999999999</v>
      </c>
      <c r="D79" s="118">
        <f t="shared" ref="D79:D81" si="102">$C$50</f>
        <v>23.503599999999999</v>
      </c>
      <c r="E79" s="118">
        <f t="shared" ref="E79:E81" si="103">$C$50</f>
        <v>23.503599999999999</v>
      </c>
      <c r="F79" s="124">
        <f t="shared" si="92"/>
        <v>23.503599999999999</v>
      </c>
      <c r="G79" s="124">
        <f t="shared" si="93"/>
        <v>23.503599999999999</v>
      </c>
      <c r="H79" s="124">
        <f t="shared" si="94"/>
        <v>23.503599999999999</v>
      </c>
      <c r="I79" s="124">
        <f t="shared" si="95"/>
        <v>23.503599999999999</v>
      </c>
      <c r="J79" s="124">
        <f t="shared" si="96"/>
        <v>23.503599999999999</v>
      </c>
      <c r="K79" s="124">
        <f t="shared" si="97"/>
        <v>23.503599999999999</v>
      </c>
      <c r="L79" s="118">
        <f t="shared" ref="L79:L81" si="104">$C$50</f>
        <v>23.503599999999999</v>
      </c>
      <c r="M79" s="118">
        <f t="shared" ref="M79:M81" si="105">$C$50</f>
        <v>23.503599999999999</v>
      </c>
      <c r="N79" s="139">
        <f t="shared" ref="N79:N81" si="106">$C$50</f>
        <v>23.503599999999999</v>
      </c>
      <c r="O79" s="4"/>
    </row>
    <row r="80" ht="14.25">
      <c r="A80" s="31"/>
      <c r="B80" s="132" t="s">
        <v>79</v>
      </c>
      <c r="C80" s="138">
        <f t="shared" si="101"/>
        <v>23.503599999999999</v>
      </c>
      <c r="D80" s="118">
        <f t="shared" si="102"/>
        <v>23.503599999999999</v>
      </c>
      <c r="E80" s="118">
        <f t="shared" si="103"/>
        <v>23.503599999999999</v>
      </c>
      <c r="F80" s="124">
        <f t="shared" si="92"/>
        <v>23.503599999999999</v>
      </c>
      <c r="G80" s="124">
        <f t="shared" si="93"/>
        <v>23.503599999999999</v>
      </c>
      <c r="H80" s="124">
        <f t="shared" si="94"/>
        <v>23.503599999999999</v>
      </c>
      <c r="I80" s="124">
        <f t="shared" si="95"/>
        <v>23.503599999999999</v>
      </c>
      <c r="J80" s="124">
        <f t="shared" si="96"/>
        <v>23.503599999999999</v>
      </c>
      <c r="K80" s="124">
        <f t="shared" si="97"/>
        <v>23.503599999999999</v>
      </c>
      <c r="L80" s="118">
        <f t="shared" si="104"/>
        <v>23.503599999999999</v>
      </c>
      <c r="M80" s="118">
        <f t="shared" si="105"/>
        <v>23.503599999999999</v>
      </c>
      <c r="N80" s="139">
        <f t="shared" si="106"/>
        <v>23.503599999999999</v>
      </c>
      <c r="O80" s="4"/>
    </row>
    <row r="81" ht="14.25">
      <c r="A81" s="31"/>
      <c r="B81" s="140" t="s">
        <v>80</v>
      </c>
      <c r="C81" s="141">
        <f t="shared" si="101"/>
        <v>23.503599999999999</v>
      </c>
      <c r="D81" s="142">
        <f t="shared" si="102"/>
        <v>23.503599999999999</v>
      </c>
      <c r="E81" s="142">
        <f t="shared" si="103"/>
        <v>23.503599999999999</v>
      </c>
      <c r="F81" s="143">
        <f t="shared" si="92"/>
        <v>23.503599999999999</v>
      </c>
      <c r="G81" s="143">
        <f t="shared" si="93"/>
        <v>23.503599999999999</v>
      </c>
      <c r="H81" s="143">
        <f t="shared" si="94"/>
        <v>23.503599999999999</v>
      </c>
      <c r="I81" s="143">
        <f t="shared" si="95"/>
        <v>23.503599999999999</v>
      </c>
      <c r="J81" s="143">
        <f t="shared" si="96"/>
        <v>23.503599999999999</v>
      </c>
      <c r="K81" s="143">
        <f t="shared" si="97"/>
        <v>23.503599999999999</v>
      </c>
      <c r="L81" s="142">
        <f t="shared" si="104"/>
        <v>23.503599999999999</v>
      </c>
      <c r="M81" s="142">
        <f t="shared" si="105"/>
        <v>23.503599999999999</v>
      </c>
      <c r="N81" s="144">
        <f t="shared" si="106"/>
        <v>23.503599999999999</v>
      </c>
      <c r="O81" s="4"/>
    </row>
    <row r="82" ht="14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</row>
    <row r="83" ht="14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</row>
    <row r="84" ht="14.25">
      <c r="A84" s="4"/>
      <c r="B84" s="35"/>
      <c r="C84" s="127" t="s">
        <v>89</v>
      </c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4"/>
    </row>
    <row r="85" ht="14.25">
      <c r="A85" s="31"/>
      <c r="B85" s="69"/>
      <c r="C85" s="42" t="s">
        <v>45</v>
      </c>
      <c r="D85" s="101" t="s">
        <v>46</v>
      </c>
      <c r="E85" s="101" t="s">
        <v>47</v>
      </c>
      <c r="F85" s="101" t="s">
        <v>48</v>
      </c>
      <c r="G85" s="101" t="s">
        <v>49</v>
      </c>
      <c r="H85" s="101" t="s">
        <v>50</v>
      </c>
      <c r="I85" s="101" t="s">
        <v>51</v>
      </c>
      <c r="J85" s="101" t="s">
        <v>52</v>
      </c>
      <c r="K85" s="101" t="s">
        <v>53</v>
      </c>
      <c r="L85" s="101" t="s">
        <v>54</v>
      </c>
      <c r="M85" s="101" t="s">
        <v>55</v>
      </c>
      <c r="N85" s="43" t="s">
        <v>56</v>
      </c>
      <c r="O85" s="4"/>
    </row>
    <row r="86" ht="14.25">
      <c r="A86" s="31"/>
      <c r="B86" s="128" t="s">
        <v>57</v>
      </c>
      <c r="C86" s="129">
        <f t="shared" ref="C86:C91" si="107">$D$49</f>
        <v>19.2424</v>
      </c>
      <c r="D86" s="116">
        <f t="shared" ref="D86:D91" si="108">$D$49</f>
        <v>19.2424</v>
      </c>
      <c r="E86" s="116">
        <f t="shared" ref="E86:E91" si="109">$D$49</f>
        <v>19.2424</v>
      </c>
      <c r="F86" s="130">
        <f t="shared" ref="F86:F91" si="110">$D$52</f>
        <v>19.2424</v>
      </c>
      <c r="G86" s="130">
        <f t="shared" ref="G86:G91" si="111">$D$52</f>
        <v>19.2424</v>
      </c>
      <c r="H86" s="130">
        <f t="shared" ref="H86:H91" si="112">$D$52</f>
        <v>19.2424</v>
      </c>
      <c r="I86" s="130">
        <f t="shared" ref="I86:I91" si="113">$D$52</f>
        <v>19.2424</v>
      </c>
      <c r="J86" s="130">
        <f t="shared" ref="J86:J91" si="114">$D$52</f>
        <v>19.2424</v>
      </c>
      <c r="K86" s="130">
        <f t="shared" ref="K86:K91" si="115">$D$52</f>
        <v>19.2424</v>
      </c>
      <c r="L86" s="116">
        <f t="shared" ref="L86:L91" si="116">$D$49</f>
        <v>19.2424</v>
      </c>
      <c r="M86" s="116">
        <f t="shared" ref="M86:M91" si="117">$D$49</f>
        <v>19.2424</v>
      </c>
      <c r="N86" s="131">
        <f t="shared" ref="N86:N91" si="118">$D$49</f>
        <v>19.2424</v>
      </c>
      <c r="O86" s="4"/>
    </row>
    <row r="87" ht="14.25">
      <c r="A87" s="31"/>
      <c r="B87" s="132" t="s">
        <v>58</v>
      </c>
      <c r="C87" s="133">
        <f t="shared" si="107"/>
        <v>19.2424</v>
      </c>
      <c r="D87" s="134">
        <f t="shared" si="108"/>
        <v>19.2424</v>
      </c>
      <c r="E87" s="134">
        <f t="shared" si="109"/>
        <v>19.2424</v>
      </c>
      <c r="F87" s="122">
        <f t="shared" si="110"/>
        <v>19.2424</v>
      </c>
      <c r="G87" s="122">
        <f t="shared" si="111"/>
        <v>19.2424</v>
      </c>
      <c r="H87" s="122">
        <f t="shared" si="112"/>
        <v>19.2424</v>
      </c>
      <c r="I87" s="122">
        <f t="shared" si="113"/>
        <v>19.2424</v>
      </c>
      <c r="J87" s="122">
        <f t="shared" si="114"/>
        <v>19.2424</v>
      </c>
      <c r="K87" s="122">
        <f t="shared" si="115"/>
        <v>19.2424</v>
      </c>
      <c r="L87" s="134">
        <f t="shared" si="116"/>
        <v>19.2424</v>
      </c>
      <c r="M87" s="134">
        <f t="shared" si="117"/>
        <v>19.2424</v>
      </c>
      <c r="N87" s="135">
        <f t="shared" si="118"/>
        <v>19.2424</v>
      </c>
      <c r="O87" s="4"/>
    </row>
    <row r="88" ht="14.25">
      <c r="A88" s="31"/>
      <c r="B88" s="132" t="s">
        <v>59</v>
      </c>
      <c r="C88" s="133">
        <f t="shared" si="107"/>
        <v>19.2424</v>
      </c>
      <c r="D88" s="134">
        <f t="shared" si="108"/>
        <v>19.2424</v>
      </c>
      <c r="E88" s="134">
        <f t="shared" si="109"/>
        <v>19.2424</v>
      </c>
      <c r="F88" s="122">
        <f t="shared" si="110"/>
        <v>19.2424</v>
      </c>
      <c r="G88" s="122">
        <f t="shared" si="111"/>
        <v>19.2424</v>
      </c>
      <c r="H88" s="122">
        <f t="shared" si="112"/>
        <v>19.2424</v>
      </c>
      <c r="I88" s="122">
        <f t="shared" si="113"/>
        <v>19.2424</v>
      </c>
      <c r="J88" s="122">
        <f t="shared" si="114"/>
        <v>19.2424</v>
      </c>
      <c r="K88" s="122">
        <f t="shared" si="115"/>
        <v>19.2424</v>
      </c>
      <c r="L88" s="134">
        <f t="shared" si="116"/>
        <v>19.2424</v>
      </c>
      <c r="M88" s="134">
        <f t="shared" si="117"/>
        <v>19.2424</v>
      </c>
      <c r="N88" s="135">
        <f t="shared" si="118"/>
        <v>19.2424</v>
      </c>
      <c r="O88" s="4"/>
    </row>
    <row r="89" ht="14.25">
      <c r="A89" s="31"/>
      <c r="B89" s="132" t="s">
        <v>60</v>
      </c>
      <c r="C89" s="133">
        <f t="shared" si="107"/>
        <v>19.2424</v>
      </c>
      <c r="D89" s="134">
        <f t="shared" si="108"/>
        <v>19.2424</v>
      </c>
      <c r="E89" s="134">
        <f t="shared" si="109"/>
        <v>19.2424</v>
      </c>
      <c r="F89" s="122">
        <f t="shared" si="110"/>
        <v>19.2424</v>
      </c>
      <c r="G89" s="122">
        <f t="shared" si="111"/>
        <v>19.2424</v>
      </c>
      <c r="H89" s="122">
        <f t="shared" si="112"/>
        <v>19.2424</v>
      </c>
      <c r="I89" s="122">
        <f t="shared" si="113"/>
        <v>19.2424</v>
      </c>
      <c r="J89" s="122">
        <f t="shared" si="114"/>
        <v>19.2424</v>
      </c>
      <c r="K89" s="122">
        <f t="shared" si="115"/>
        <v>19.2424</v>
      </c>
      <c r="L89" s="134">
        <f t="shared" si="116"/>
        <v>19.2424</v>
      </c>
      <c r="M89" s="134">
        <f t="shared" si="117"/>
        <v>19.2424</v>
      </c>
      <c r="N89" s="135">
        <f t="shared" si="118"/>
        <v>19.2424</v>
      </c>
      <c r="O89" s="4"/>
    </row>
    <row r="90" ht="14.25">
      <c r="A90" s="31"/>
      <c r="B90" s="132" t="s">
        <v>61</v>
      </c>
      <c r="C90" s="133">
        <f t="shared" si="107"/>
        <v>19.2424</v>
      </c>
      <c r="D90" s="134">
        <f t="shared" si="108"/>
        <v>19.2424</v>
      </c>
      <c r="E90" s="134">
        <f t="shared" si="109"/>
        <v>19.2424</v>
      </c>
      <c r="F90" s="122">
        <f t="shared" si="110"/>
        <v>19.2424</v>
      </c>
      <c r="G90" s="122">
        <f t="shared" si="111"/>
        <v>19.2424</v>
      </c>
      <c r="H90" s="122">
        <f t="shared" si="112"/>
        <v>19.2424</v>
      </c>
      <c r="I90" s="122">
        <f t="shared" si="113"/>
        <v>19.2424</v>
      </c>
      <c r="J90" s="122">
        <f t="shared" si="114"/>
        <v>19.2424</v>
      </c>
      <c r="K90" s="122">
        <f t="shared" si="115"/>
        <v>19.2424</v>
      </c>
      <c r="L90" s="134">
        <f t="shared" si="116"/>
        <v>19.2424</v>
      </c>
      <c r="M90" s="134">
        <f t="shared" si="117"/>
        <v>19.2424</v>
      </c>
      <c r="N90" s="135">
        <f t="shared" si="118"/>
        <v>19.2424</v>
      </c>
      <c r="O90" s="4"/>
    </row>
    <row r="91" ht="14.25">
      <c r="A91" s="31"/>
      <c r="B91" s="132" t="s">
        <v>62</v>
      </c>
      <c r="C91" s="133">
        <f t="shared" si="107"/>
        <v>19.2424</v>
      </c>
      <c r="D91" s="134">
        <f t="shared" si="108"/>
        <v>19.2424</v>
      </c>
      <c r="E91" s="134">
        <f t="shared" si="109"/>
        <v>19.2424</v>
      </c>
      <c r="F91" s="122">
        <f t="shared" si="110"/>
        <v>19.2424</v>
      </c>
      <c r="G91" s="122">
        <f t="shared" si="111"/>
        <v>19.2424</v>
      </c>
      <c r="H91" s="122">
        <f t="shared" si="112"/>
        <v>19.2424</v>
      </c>
      <c r="I91" s="122">
        <f t="shared" si="113"/>
        <v>19.2424</v>
      </c>
      <c r="J91" s="122">
        <f t="shared" si="114"/>
        <v>19.2424</v>
      </c>
      <c r="K91" s="122">
        <f t="shared" si="115"/>
        <v>19.2424</v>
      </c>
      <c r="L91" s="134">
        <f t="shared" si="116"/>
        <v>19.2424</v>
      </c>
      <c r="M91" s="134">
        <f t="shared" si="117"/>
        <v>19.2424</v>
      </c>
      <c r="N91" s="135">
        <f t="shared" si="118"/>
        <v>19.2424</v>
      </c>
      <c r="O91" s="4"/>
    </row>
    <row r="92" ht="14.25">
      <c r="A92" s="31"/>
      <c r="B92" s="132" t="s">
        <v>63</v>
      </c>
      <c r="C92" s="136">
        <f t="shared" ref="C92:C106" si="119">$D$51</f>
        <v>22.6996</v>
      </c>
      <c r="D92" s="120">
        <f t="shared" ref="D92:D106" si="120">$D$51</f>
        <v>22.6996</v>
      </c>
      <c r="E92" s="120">
        <f t="shared" ref="E92:E106" si="121">$D$51</f>
        <v>22.6996</v>
      </c>
      <c r="F92" s="124">
        <f t="shared" ref="F92:F109" si="122">$D$53</f>
        <v>20.3948</v>
      </c>
      <c r="G92" s="124">
        <f t="shared" ref="G92:G109" si="123">$D$53</f>
        <v>20.3948</v>
      </c>
      <c r="H92" s="124">
        <f t="shared" ref="H92:H109" si="124">$D$53</f>
        <v>20.3948</v>
      </c>
      <c r="I92" s="124">
        <f t="shared" ref="I92:I109" si="125">$D$53</f>
        <v>20.3948</v>
      </c>
      <c r="J92" s="124">
        <f t="shared" ref="J92:J109" si="126">$D$53</f>
        <v>20.3948</v>
      </c>
      <c r="K92" s="124">
        <f t="shared" ref="K92:K109" si="127">$D$53</f>
        <v>20.3948</v>
      </c>
      <c r="L92" s="120">
        <f t="shared" ref="L92:L106" si="128">$D$51</f>
        <v>22.6996</v>
      </c>
      <c r="M92" s="120">
        <f t="shared" ref="M92:M106" si="129">$D$51</f>
        <v>22.6996</v>
      </c>
      <c r="N92" s="137">
        <f t="shared" ref="N92:N106" si="130">$D$51</f>
        <v>22.6996</v>
      </c>
      <c r="O92" s="4"/>
    </row>
    <row r="93" ht="14.25">
      <c r="A93" s="31"/>
      <c r="B93" s="132" t="s">
        <v>64</v>
      </c>
      <c r="C93" s="136">
        <f t="shared" si="119"/>
        <v>22.6996</v>
      </c>
      <c r="D93" s="120">
        <f t="shared" si="120"/>
        <v>22.6996</v>
      </c>
      <c r="E93" s="120">
        <f t="shared" si="121"/>
        <v>22.6996</v>
      </c>
      <c r="F93" s="124">
        <f t="shared" si="122"/>
        <v>20.3948</v>
      </c>
      <c r="G93" s="124">
        <f t="shared" si="123"/>
        <v>20.3948</v>
      </c>
      <c r="H93" s="124">
        <f t="shared" si="124"/>
        <v>20.3948</v>
      </c>
      <c r="I93" s="124">
        <f t="shared" si="125"/>
        <v>20.3948</v>
      </c>
      <c r="J93" s="124">
        <f t="shared" si="126"/>
        <v>20.3948</v>
      </c>
      <c r="K93" s="124">
        <f t="shared" si="127"/>
        <v>20.3948</v>
      </c>
      <c r="L93" s="120">
        <f t="shared" si="128"/>
        <v>22.6996</v>
      </c>
      <c r="M93" s="120">
        <f t="shared" si="129"/>
        <v>22.6996</v>
      </c>
      <c r="N93" s="137">
        <f t="shared" si="130"/>
        <v>22.6996</v>
      </c>
      <c r="O93" s="4"/>
    </row>
    <row r="94" ht="14.25">
      <c r="A94" s="31"/>
      <c r="B94" s="132" t="s">
        <v>65</v>
      </c>
      <c r="C94" s="136">
        <f t="shared" si="119"/>
        <v>22.6996</v>
      </c>
      <c r="D94" s="120">
        <f t="shared" si="120"/>
        <v>22.6996</v>
      </c>
      <c r="E94" s="120">
        <f t="shared" si="121"/>
        <v>22.6996</v>
      </c>
      <c r="F94" s="124">
        <f t="shared" si="122"/>
        <v>20.3948</v>
      </c>
      <c r="G94" s="124">
        <f t="shared" si="123"/>
        <v>20.3948</v>
      </c>
      <c r="H94" s="124">
        <f t="shared" si="124"/>
        <v>20.3948</v>
      </c>
      <c r="I94" s="124">
        <f t="shared" si="125"/>
        <v>20.3948</v>
      </c>
      <c r="J94" s="124">
        <f t="shared" si="126"/>
        <v>20.3948</v>
      </c>
      <c r="K94" s="124">
        <f t="shared" si="127"/>
        <v>20.3948</v>
      </c>
      <c r="L94" s="120">
        <f t="shared" si="128"/>
        <v>22.6996</v>
      </c>
      <c r="M94" s="120">
        <f t="shared" si="129"/>
        <v>22.6996</v>
      </c>
      <c r="N94" s="137">
        <f t="shared" si="130"/>
        <v>22.6996</v>
      </c>
      <c r="O94" s="4"/>
    </row>
    <row r="95" ht="14.25">
      <c r="A95" s="31"/>
      <c r="B95" s="132" t="s">
        <v>66</v>
      </c>
      <c r="C95" s="136">
        <f t="shared" si="119"/>
        <v>22.6996</v>
      </c>
      <c r="D95" s="120">
        <f t="shared" si="120"/>
        <v>22.6996</v>
      </c>
      <c r="E95" s="120">
        <f t="shared" si="121"/>
        <v>22.6996</v>
      </c>
      <c r="F95" s="124">
        <f t="shared" si="122"/>
        <v>20.3948</v>
      </c>
      <c r="G95" s="124">
        <f t="shared" si="123"/>
        <v>20.3948</v>
      </c>
      <c r="H95" s="124">
        <f t="shared" si="124"/>
        <v>20.3948</v>
      </c>
      <c r="I95" s="124">
        <f t="shared" si="125"/>
        <v>20.3948</v>
      </c>
      <c r="J95" s="124">
        <f t="shared" si="126"/>
        <v>20.3948</v>
      </c>
      <c r="K95" s="124">
        <f t="shared" si="127"/>
        <v>20.3948</v>
      </c>
      <c r="L95" s="120">
        <f t="shared" si="128"/>
        <v>22.6996</v>
      </c>
      <c r="M95" s="120">
        <f t="shared" si="129"/>
        <v>22.6996</v>
      </c>
      <c r="N95" s="137">
        <f t="shared" si="130"/>
        <v>22.6996</v>
      </c>
      <c r="O95" s="4"/>
    </row>
    <row r="96" ht="14.25">
      <c r="A96" s="31"/>
      <c r="B96" s="132" t="s">
        <v>67</v>
      </c>
      <c r="C96" s="136">
        <f t="shared" si="119"/>
        <v>22.6996</v>
      </c>
      <c r="D96" s="120">
        <f t="shared" si="120"/>
        <v>22.6996</v>
      </c>
      <c r="E96" s="120">
        <f t="shared" si="121"/>
        <v>22.6996</v>
      </c>
      <c r="F96" s="124">
        <f t="shared" si="122"/>
        <v>20.3948</v>
      </c>
      <c r="G96" s="124">
        <f t="shared" si="123"/>
        <v>20.3948</v>
      </c>
      <c r="H96" s="124">
        <f t="shared" si="124"/>
        <v>20.3948</v>
      </c>
      <c r="I96" s="124">
        <f t="shared" si="125"/>
        <v>20.3948</v>
      </c>
      <c r="J96" s="124">
        <f t="shared" si="126"/>
        <v>20.3948</v>
      </c>
      <c r="K96" s="124">
        <f t="shared" si="127"/>
        <v>20.3948</v>
      </c>
      <c r="L96" s="120">
        <f t="shared" si="128"/>
        <v>22.6996</v>
      </c>
      <c r="M96" s="120">
        <f t="shared" si="129"/>
        <v>22.6996</v>
      </c>
      <c r="N96" s="137">
        <f t="shared" si="130"/>
        <v>22.6996</v>
      </c>
      <c r="O96" s="4"/>
    </row>
    <row r="97" ht="14.25">
      <c r="A97" s="31"/>
      <c r="B97" s="132" t="s">
        <v>68</v>
      </c>
      <c r="C97" s="136">
        <f t="shared" si="119"/>
        <v>22.6996</v>
      </c>
      <c r="D97" s="120">
        <f t="shared" si="120"/>
        <v>22.6996</v>
      </c>
      <c r="E97" s="120">
        <f t="shared" si="121"/>
        <v>22.6996</v>
      </c>
      <c r="F97" s="124">
        <f t="shared" si="122"/>
        <v>20.3948</v>
      </c>
      <c r="G97" s="124">
        <f t="shared" si="123"/>
        <v>20.3948</v>
      </c>
      <c r="H97" s="124">
        <f t="shared" si="124"/>
        <v>20.3948</v>
      </c>
      <c r="I97" s="124">
        <f t="shared" si="125"/>
        <v>20.3948</v>
      </c>
      <c r="J97" s="124">
        <f t="shared" si="126"/>
        <v>20.3948</v>
      </c>
      <c r="K97" s="124">
        <f t="shared" si="127"/>
        <v>20.3948</v>
      </c>
      <c r="L97" s="120">
        <f t="shared" si="128"/>
        <v>22.6996</v>
      </c>
      <c r="M97" s="120">
        <f t="shared" si="129"/>
        <v>22.6996</v>
      </c>
      <c r="N97" s="137">
        <f t="shared" si="130"/>
        <v>22.6996</v>
      </c>
      <c r="O97" s="4"/>
    </row>
    <row r="98" ht="14.25">
      <c r="A98" s="31"/>
      <c r="B98" s="132" t="s">
        <v>69</v>
      </c>
      <c r="C98" s="136">
        <f t="shared" si="119"/>
        <v>22.6996</v>
      </c>
      <c r="D98" s="120">
        <f t="shared" si="120"/>
        <v>22.6996</v>
      </c>
      <c r="E98" s="120">
        <f t="shared" si="121"/>
        <v>22.6996</v>
      </c>
      <c r="F98" s="124">
        <f t="shared" si="122"/>
        <v>20.3948</v>
      </c>
      <c r="G98" s="124">
        <f t="shared" si="123"/>
        <v>20.3948</v>
      </c>
      <c r="H98" s="124">
        <f t="shared" si="124"/>
        <v>20.3948</v>
      </c>
      <c r="I98" s="124">
        <f t="shared" si="125"/>
        <v>20.3948</v>
      </c>
      <c r="J98" s="124">
        <f t="shared" si="126"/>
        <v>20.3948</v>
      </c>
      <c r="K98" s="124">
        <f t="shared" si="127"/>
        <v>20.3948</v>
      </c>
      <c r="L98" s="120">
        <f t="shared" si="128"/>
        <v>22.6996</v>
      </c>
      <c r="M98" s="120">
        <f t="shared" si="129"/>
        <v>22.6996</v>
      </c>
      <c r="N98" s="137">
        <f t="shared" si="130"/>
        <v>22.6996</v>
      </c>
      <c r="O98" s="4"/>
    </row>
    <row r="99" ht="14.25">
      <c r="A99" s="31"/>
      <c r="B99" s="132" t="s">
        <v>70</v>
      </c>
      <c r="C99" s="136">
        <f t="shared" si="119"/>
        <v>22.6996</v>
      </c>
      <c r="D99" s="120">
        <f t="shared" si="120"/>
        <v>22.6996</v>
      </c>
      <c r="E99" s="120">
        <f t="shared" si="121"/>
        <v>22.6996</v>
      </c>
      <c r="F99" s="124">
        <f t="shared" si="122"/>
        <v>20.3948</v>
      </c>
      <c r="G99" s="124">
        <f t="shared" si="123"/>
        <v>20.3948</v>
      </c>
      <c r="H99" s="124">
        <f t="shared" si="124"/>
        <v>20.3948</v>
      </c>
      <c r="I99" s="124">
        <f t="shared" si="125"/>
        <v>20.3948</v>
      </c>
      <c r="J99" s="124">
        <f t="shared" si="126"/>
        <v>20.3948</v>
      </c>
      <c r="K99" s="124">
        <f t="shared" si="127"/>
        <v>20.3948</v>
      </c>
      <c r="L99" s="120">
        <f t="shared" si="128"/>
        <v>22.6996</v>
      </c>
      <c r="M99" s="120">
        <f t="shared" si="129"/>
        <v>22.6996</v>
      </c>
      <c r="N99" s="137">
        <f t="shared" si="130"/>
        <v>22.6996</v>
      </c>
      <c r="O99" s="4"/>
    </row>
    <row r="100" ht="14.25">
      <c r="A100" s="31"/>
      <c r="B100" s="132" t="s">
        <v>71</v>
      </c>
      <c r="C100" s="136">
        <f t="shared" si="119"/>
        <v>22.6996</v>
      </c>
      <c r="D100" s="120">
        <f t="shared" si="120"/>
        <v>22.6996</v>
      </c>
      <c r="E100" s="120">
        <f t="shared" si="121"/>
        <v>22.6996</v>
      </c>
      <c r="F100" s="124">
        <f t="shared" si="122"/>
        <v>20.3948</v>
      </c>
      <c r="G100" s="124">
        <f t="shared" si="123"/>
        <v>20.3948</v>
      </c>
      <c r="H100" s="124">
        <f t="shared" si="124"/>
        <v>20.3948</v>
      </c>
      <c r="I100" s="124">
        <f t="shared" si="125"/>
        <v>20.3948</v>
      </c>
      <c r="J100" s="124">
        <f t="shared" si="126"/>
        <v>20.3948</v>
      </c>
      <c r="K100" s="124">
        <f t="shared" si="127"/>
        <v>20.3948</v>
      </c>
      <c r="L100" s="120">
        <f t="shared" si="128"/>
        <v>22.6996</v>
      </c>
      <c r="M100" s="120">
        <f t="shared" si="129"/>
        <v>22.6996</v>
      </c>
      <c r="N100" s="137">
        <f t="shared" si="130"/>
        <v>22.6996</v>
      </c>
      <c r="O100" s="4"/>
    </row>
    <row r="101" ht="14.25">
      <c r="A101" s="31"/>
      <c r="B101" s="132" t="s">
        <v>72</v>
      </c>
      <c r="C101" s="136">
        <f t="shared" si="119"/>
        <v>22.6996</v>
      </c>
      <c r="D101" s="120">
        <f t="shared" si="120"/>
        <v>22.6996</v>
      </c>
      <c r="E101" s="120">
        <f t="shared" si="121"/>
        <v>22.6996</v>
      </c>
      <c r="F101" s="124">
        <f t="shared" si="122"/>
        <v>20.3948</v>
      </c>
      <c r="G101" s="124">
        <f t="shared" si="123"/>
        <v>20.3948</v>
      </c>
      <c r="H101" s="124">
        <f t="shared" si="124"/>
        <v>20.3948</v>
      </c>
      <c r="I101" s="124">
        <f t="shared" si="125"/>
        <v>20.3948</v>
      </c>
      <c r="J101" s="124">
        <f t="shared" si="126"/>
        <v>20.3948</v>
      </c>
      <c r="K101" s="124">
        <f t="shared" si="127"/>
        <v>20.3948</v>
      </c>
      <c r="L101" s="120">
        <f t="shared" si="128"/>
        <v>22.6996</v>
      </c>
      <c r="M101" s="120">
        <f t="shared" si="129"/>
        <v>22.6996</v>
      </c>
      <c r="N101" s="137">
        <f t="shared" si="130"/>
        <v>22.6996</v>
      </c>
      <c r="O101" s="4"/>
    </row>
    <row r="102" ht="14.25">
      <c r="A102" s="31"/>
      <c r="B102" s="132" t="s">
        <v>73</v>
      </c>
      <c r="C102" s="136">
        <f t="shared" si="119"/>
        <v>22.6996</v>
      </c>
      <c r="D102" s="120">
        <f t="shared" si="120"/>
        <v>22.6996</v>
      </c>
      <c r="E102" s="120">
        <f t="shared" si="121"/>
        <v>22.6996</v>
      </c>
      <c r="F102" s="124">
        <f t="shared" si="122"/>
        <v>20.3948</v>
      </c>
      <c r="G102" s="124">
        <f t="shared" si="123"/>
        <v>20.3948</v>
      </c>
      <c r="H102" s="124">
        <f t="shared" si="124"/>
        <v>20.3948</v>
      </c>
      <c r="I102" s="124">
        <f t="shared" si="125"/>
        <v>20.3948</v>
      </c>
      <c r="J102" s="124">
        <f t="shared" si="126"/>
        <v>20.3948</v>
      </c>
      <c r="K102" s="124">
        <f t="shared" si="127"/>
        <v>20.3948</v>
      </c>
      <c r="L102" s="120">
        <f t="shared" si="128"/>
        <v>22.6996</v>
      </c>
      <c r="M102" s="120">
        <f t="shared" si="129"/>
        <v>22.6996</v>
      </c>
      <c r="N102" s="137">
        <f t="shared" si="130"/>
        <v>22.6996</v>
      </c>
      <c r="O102" s="4"/>
    </row>
    <row r="103" ht="14.25">
      <c r="A103" s="31"/>
      <c r="B103" s="132" t="s">
        <v>74</v>
      </c>
      <c r="C103" s="136">
        <f t="shared" si="119"/>
        <v>22.6996</v>
      </c>
      <c r="D103" s="120">
        <f t="shared" si="120"/>
        <v>22.6996</v>
      </c>
      <c r="E103" s="120">
        <f t="shared" si="121"/>
        <v>22.6996</v>
      </c>
      <c r="F103" s="124">
        <f t="shared" si="122"/>
        <v>20.3948</v>
      </c>
      <c r="G103" s="124">
        <f t="shared" si="123"/>
        <v>20.3948</v>
      </c>
      <c r="H103" s="124">
        <f t="shared" si="124"/>
        <v>20.3948</v>
      </c>
      <c r="I103" s="124">
        <f t="shared" si="125"/>
        <v>20.3948</v>
      </c>
      <c r="J103" s="124">
        <f t="shared" si="126"/>
        <v>20.3948</v>
      </c>
      <c r="K103" s="124">
        <f t="shared" si="127"/>
        <v>20.3948</v>
      </c>
      <c r="L103" s="120">
        <f t="shared" si="128"/>
        <v>22.6996</v>
      </c>
      <c r="M103" s="120">
        <f t="shared" si="129"/>
        <v>22.6996</v>
      </c>
      <c r="N103" s="137">
        <f t="shared" si="130"/>
        <v>22.6996</v>
      </c>
      <c r="O103" s="4"/>
    </row>
    <row r="104" ht="14.25">
      <c r="A104" s="31"/>
      <c r="B104" s="132" t="s">
        <v>75</v>
      </c>
      <c r="C104" s="136">
        <f t="shared" si="119"/>
        <v>22.6996</v>
      </c>
      <c r="D104" s="120">
        <f t="shared" si="120"/>
        <v>22.6996</v>
      </c>
      <c r="E104" s="120">
        <f t="shared" si="121"/>
        <v>22.6996</v>
      </c>
      <c r="F104" s="124">
        <f t="shared" si="122"/>
        <v>20.3948</v>
      </c>
      <c r="G104" s="124">
        <f t="shared" si="123"/>
        <v>20.3948</v>
      </c>
      <c r="H104" s="124">
        <f t="shared" si="124"/>
        <v>20.3948</v>
      </c>
      <c r="I104" s="124">
        <f t="shared" si="125"/>
        <v>20.3948</v>
      </c>
      <c r="J104" s="124">
        <f t="shared" si="126"/>
        <v>20.3948</v>
      </c>
      <c r="K104" s="124">
        <f t="shared" si="127"/>
        <v>20.3948</v>
      </c>
      <c r="L104" s="120">
        <f t="shared" si="128"/>
        <v>22.6996</v>
      </c>
      <c r="M104" s="120">
        <f t="shared" si="129"/>
        <v>22.6996</v>
      </c>
      <c r="N104" s="137">
        <f t="shared" si="130"/>
        <v>22.6996</v>
      </c>
      <c r="O104" s="4"/>
    </row>
    <row r="105" ht="14.25">
      <c r="A105" s="31"/>
      <c r="B105" s="132" t="s">
        <v>76</v>
      </c>
      <c r="C105" s="136">
        <f t="shared" si="119"/>
        <v>22.6996</v>
      </c>
      <c r="D105" s="120">
        <f t="shared" si="120"/>
        <v>22.6996</v>
      </c>
      <c r="E105" s="120">
        <f t="shared" si="121"/>
        <v>22.6996</v>
      </c>
      <c r="F105" s="124">
        <f t="shared" si="122"/>
        <v>20.3948</v>
      </c>
      <c r="G105" s="124">
        <f t="shared" si="123"/>
        <v>20.3948</v>
      </c>
      <c r="H105" s="124">
        <f t="shared" si="124"/>
        <v>20.3948</v>
      </c>
      <c r="I105" s="124">
        <f t="shared" si="125"/>
        <v>20.3948</v>
      </c>
      <c r="J105" s="124">
        <f t="shared" si="126"/>
        <v>20.3948</v>
      </c>
      <c r="K105" s="124">
        <f t="shared" si="127"/>
        <v>20.3948</v>
      </c>
      <c r="L105" s="120">
        <f t="shared" si="128"/>
        <v>22.6996</v>
      </c>
      <c r="M105" s="120">
        <f t="shared" si="129"/>
        <v>22.6996</v>
      </c>
      <c r="N105" s="137">
        <f t="shared" si="130"/>
        <v>22.6996</v>
      </c>
      <c r="O105" s="4"/>
    </row>
    <row r="106" ht="14.25">
      <c r="A106" s="31"/>
      <c r="B106" s="132" t="s">
        <v>77</v>
      </c>
      <c r="C106" s="136">
        <f t="shared" si="119"/>
        <v>22.6996</v>
      </c>
      <c r="D106" s="120">
        <f t="shared" si="120"/>
        <v>22.6996</v>
      </c>
      <c r="E106" s="120">
        <f t="shared" si="121"/>
        <v>22.6996</v>
      </c>
      <c r="F106" s="124">
        <f t="shared" si="122"/>
        <v>20.3948</v>
      </c>
      <c r="G106" s="124">
        <f t="shared" si="123"/>
        <v>20.3948</v>
      </c>
      <c r="H106" s="124">
        <f t="shared" si="124"/>
        <v>20.3948</v>
      </c>
      <c r="I106" s="124">
        <f t="shared" si="125"/>
        <v>20.3948</v>
      </c>
      <c r="J106" s="124">
        <f t="shared" si="126"/>
        <v>20.3948</v>
      </c>
      <c r="K106" s="124">
        <f t="shared" si="127"/>
        <v>20.3948</v>
      </c>
      <c r="L106" s="120">
        <f t="shared" si="128"/>
        <v>22.6996</v>
      </c>
      <c r="M106" s="120">
        <f t="shared" si="129"/>
        <v>22.6996</v>
      </c>
      <c r="N106" s="137">
        <f t="shared" si="130"/>
        <v>22.6996</v>
      </c>
      <c r="O106" s="4"/>
    </row>
    <row r="107" ht="14.25">
      <c r="A107" s="31"/>
      <c r="B107" s="132" t="s">
        <v>78</v>
      </c>
      <c r="C107" s="138">
        <f t="shared" ref="C107:C109" si="131">$D$50</f>
        <v>20.3948</v>
      </c>
      <c r="D107" s="118">
        <f t="shared" ref="D107:D109" si="132">$D$50</f>
        <v>20.3948</v>
      </c>
      <c r="E107" s="118">
        <f t="shared" ref="E107:E109" si="133">$D$50</f>
        <v>20.3948</v>
      </c>
      <c r="F107" s="124">
        <f t="shared" si="122"/>
        <v>20.3948</v>
      </c>
      <c r="G107" s="124">
        <f t="shared" si="123"/>
        <v>20.3948</v>
      </c>
      <c r="H107" s="124">
        <f t="shared" si="124"/>
        <v>20.3948</v>
      </c>
      <c r="I107" s="124">
        <f t="shared" si="125"/>
        <v>20.3948</v>
      </c>
      <c r="J107" s="124">
        <f t="shared" si="126"/>
        <v>20.3948</v>
      </c>
      <c r="K107" s="124">
        <f t="shared" si="127"/>
        <v>20.3948</v>
      </c>
      <c r="L107" s="118">
        <f t="shared" ref="L107:L109" si="134">$D$50</f>
        <v>20.3948</v>
      </c>
      <c r="M107" s="118">
        <f t="shared" ref="M107:M109" si="135">$D$50</f>
        <v>20.3948</v>
      </c>
      <c r="N107" s="139">
        <f t="shared" ref="N107:N109" si="136">$D$50</f>
        <v>20.3948</v>
      </c>
      <c r="O107" s="4"/>
    </row>
    <row r="108" ht="14.25">
      <c r="A108" s="31"/>
      <c r="B108" s="132" t="s">
        <v>79</v>
      </c>
      <c r="C108" s="138">
        <f t="shared" si="131"/>
        <v>20.3948</v>
      </c>
      <c r="D108" s="118">
        <f t="shared" si="132"/>
        <v>20.3948</v>
      </c>
      <c r="E108" s="118">
        <f t="shared" si="133"/>
        <v>20.3948</v>
      </c>
      <c r="F108" s="124">
        <f t="shared" si="122"/>
        <v>20.3948</v>
      </c>
      <c r="G108" s="124">
        <f t="shared" si="123"/>
        <v>20.3948</v>
      </c>
      <c r="H108" s="124">
        <f t="shared" si="124"/>
        <v>20.3948</v>
      </c>
      <c r="I108" s="124">
        <f t="shared" si="125"/>
        <v>20.3948</v>
      </c>
      <c r="J108" s="124">
        <f t="shared" si="126"/>
        <v>20.3948</v>
      </c>
      <c r="K108" s="124">
        <f t="shared" si="127"/>
        <v>20.3948</v>
      </c>
      <c r="L108" s="118">
        <f t="shared" si="134"/>
        <v>20.3948</v>
      </c>
      <c r="M108" s="118">
        <f t="shared" si="135"/>
        <v>20.3948</v>
      </c>
      <c r="N108" s="139">
        <f t="shared" si="136"/>
        <v>20.3948</v>
      </c>
      <c r="O108" s="4"/>
    </row>
    <row r="109" ht="14.25">
      <c r="A109" s="31"/>
      <c r="B109" s="140" t="s">
        <v>80</v>
      </c>
      <c r="C109" s="141">
        <f t="shared" si="131"/>
        <v>20.3948</v>
      </c>
      <c r="D109" s="142">
        <f t="shared" si="132"/>
        <v>20.3948</v>
      </c>
      <c r="E109" s="142">
        <f t="shared" si="133"/>
        <v>20.3948</v>
      </c>
      <c r="F109" s="143">
        <f t="shared" si="122"/>
        <v>20.3948</v>
      </c>
      <c r="G109" s="143">
        <f t="shared" si="123"/>
        <v>20.3948</v>
      </c>
      <c r="H109" s="143">
        <f t="shared" si="124"/>
        <v>20.3948</v>
      </c>
      <c r="I109" s="143">
        <f t="shared" si="125"/>
        <v>20.3948</v>
      </c>
      <c r="J109" s="143">
        <f t="shared" si="126"/>
        <v>20.3948</v>
      </c>
      <c r="K109" s="143">
        <f t="shared" si="127"/>
        <v>20.3948</v>
      </c>
      <c r="L109" s="142">
        <f t="shared" si="134"/>
        <v>20.3948</v>
      </c>
      <c r="M109" s="142">
        <f t="shared" si="135"/>
        <v>20.3948</v>
      </c>
      <c r="N109" s="144">
        <f t="shared" si="136"/>
        <v>20.3948</v>
      </c>
      <c r="O109" s="4"/>
    </row>
    <row r="112" ht="14.25">
      <c r="B112" s="35"/>
      <c r="C112" s="127" t="s">
        <v>91</v>
      </c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</row>
    <row r="113" ht="14.25">
      <c r="B113" s="69"/>
      <c r="C113" s="145" t="s">
        <v>45</v>
      </c>
      <c r="D113" s="55" t="s">
        <v>46</v>
      </c>
      <c r="E113" s="55" t="s">
        <v>47</v>
      </c>
      <c r="F113" s="55" t="s">
        <v>48</v>
      </c>
      <c r="G113" s="55" t="s">
        <v>49</v>
      </c>
      <c r="H113" s="55" t="s">
        <v>50</v>
      </c>
      <c r="I113" s="55" t="s">
        <v>51</v>
      </c>
      <c r="J113" s="55" t="s">
        <v>52</v>
      </c>
      <c r="K113" s="55" t="s">
        <v>53</v>
      </c>
      <c r="L113" s="55" t="s">
        <v>54</v>
      </c>
      <c r="M113" s="55" t="s">
        <v>55</v>
      </c>
      <c r="N113" s="70" t="s">
        <v>56</v>
      </c>
    </row>
    <row r="114" ht="14.25">
      <c r="B114" s="146" t="s">
        <v>57</v>
      </c>
      <c r="C114" s="129">
        <f t="shared" ref="C114:C119" si="137">$E$49</f>
        <v>19.2424</v>
      </c>
      <c r="D114" s="116">
        <f t="shared" ref="D114:D119" si="138">$E$49</f>
        <v>19.2424</v>
      </c>
      <c r="E114" s="116">
        <f t="shared" ref="E114:E119" si="139">$E$49</f>
        <v>19.2424</v>
      </c>
      <c r="F114" s="130">
        <f t="shared" ref="F114:F119" si="140">$E$52</f>
        <v>19.2424</v>
      </c>
      <c r="G114" s="130">
        <f t="shared" ref="G114:G119" si="141">$E$52</f>
        <v>19.2424</v>
      </c>
      <c r="H114" s="130">
        <f t="shared" ref="H114:H119" si="142">$E$52</f>
        <v>19.2424</v>
      </c>
      <c r="I114" s="130">
        <f t="shared" ref="I114:I119" si="143">$E$52</f>
        <v>19.2424</v>
      </c>
      <c r="J114" s="130">
        <f t="shared" ref="J114:J119" si="144">$E$52</f>
        <v>19.2424</v>
      </c>
      <c r="K114" s="130">
        <f t="shared" ref="K114:K119" si="145">$E$52</f>
        <v>19.2424</v>
      </c>
      <c r="L114" s="116">
        <f t="shared" ref="L114:L119" si="146">$E$49</f>
        <v>19.2424</v>
      </c>
      <c r="M114" s="116">
        <f t="shared" ref="M114:M119" si="147">$E$49</f>
        <v>19.2424</v>
      </c>
      <c r="N114" s="131">
        <f t="shared" ref="N114:N119" si="148">$E$49</f>
        <v>19.2424</v>
      </c>
    </row>
    <row r="115" ht="14.25">
      <c r="B115" s="71" t="s">
        <v>58</v>
      </c>
      <c r="C115" s="133">
        <f t="shared" si="137"/>
        <v>19.2424</v>
      </c>
      <c r="D115" s="134">
        <f t="shared" si="138"/>
        <v>19.2424</v>
      </c>
      <c r="E115" s="134">
        <f t="shared" si="139"/>
        <v>19.2424</v>
      </c>
      <c r="F115" s="122">
        <f t="shared" si="140"/>
        <v>19.2424</v>
      </c>
      <c r="G115" s="122">
        <f t="shared" si="141"/>
        <v>19.2424</v>
      </c>
      <c r="H115" s="122">
        <f t="shared" si="142"/>
        <v>19.2424</v>
      </c>
      <c r="I115" s="122">
        <f t="shared" si="143"/>
        <v>19.2424</v>
      </c>
      <c r="J115" s="122">
        <f t="shared" si="144"/>
        <v>19.2424</v>
      </c>
      <c r="K115" s="122">
        <f t="shared" si="145"/>
        <v>19.2424</v>
      </c>
      <c r="L115" s="134">
        <f t="shared" si="146"/>
        <v>19.2424</v>
      </c>
      <c r="M115" s="134">
        <f t="shared" si="147"/>
        <v>19.2424</v>
      </c>
      <c r="N115" s="135">
        <f t="shared" si="148"/>
        <v>19.2424</v>
      </c>
    </row>
    <row r="116" ht="14.25">
      <c r="B116" s="71" t="s">
        <v>59</v>
      </c>
      <c r="C116" s="133">
        <f t="shared" si="137"/>
        <v>19.2424</v>
      </c>
      <c r="D116" s="134">
        <f t="shared" si="138"/>
        <v>19.2424</v>
      </c>
      <c r="E116" s="134">
        <f t="shared" si="139"/>
        <v>19.2424</v>
      </c>
      <c r="F116" s="122">
        <f t="shared" si="140"/>
        <v>19.2424</v>
      </c>
      <c r="G116" s="122">
        <f t="shared" si="141"/>
        <v>19.2424</v>
      </c>
      <c r="H116" s="122">
        <f t="shared" si="142"/>
        <v>19.2424</v>
      </c>
      <c r="I116" s="122">
        <f t="shared" si="143"/>
        <v>19.2424</v>
      </c>
      <c r="J116" s="122">
        <f t="shared" si="144"/>
        <v>19.2424</v>
      </c>
      <c r="K116" s="122">
        <f t="shared" si="145"/>
        <v>19.2424</v>
      </c>
      <c r="L116" s="134">
        <f t="shared" si="146"/>
        <v>19.2424</v>
      </c>
      <c r="M116" s="134">
        <f t="shared" si="147"/>
        <v>19.2424</v>
      </c>
      <c r="N116" s="135">
        <f t="shared" si="148"/>
        <v>19.2424</v>
      </c>
    </row>
    <row r="117" ht="14.25">
      <c r="B117" s="71" t="s">
        <v>60</v>
      </c>
      <c r="C117" s="133">
        <f t="shared" si="137"/>
        <v>19.2424</v>
      </c>
      <c r="D117" s="134">
        <f t="shared" si="138"/>
        <v>19.2424</v>
      </c>
      <c r="E117" s="134">
        <f t="shared" si="139"/>
        <v>19.2424</v>
      </c>
      <c r="F117" s="122">
        <f t="shared" si="140"/>
        <v>19.2424</v>
      </c>
      <c r="G117" s="122">
        <f t="shared" si="141"/>
        <v>19.2424</v>
      </c>
      <c r="H117" s="122">
        <f t="shared" si="142"/>
        <v>19.2424</v>
      </c>
      <c r="I117" s="122">
        <f t="shared" si="143"/>
        <v>19.2424</v>
      </c>
      <c r="J117" s="122">
        <f t="shared" si="144"/>
        <v>19.2424</v>
      </c>
      <c r="K117" s="122">
        <f t="shared" si="145"/>
        <v>19.2424</v>
      </c>
      <c r="L117" s="134">
        <f t="shared" si="146"/>
        <v>19.2424</v>
      </c>
      <c r="M117" s="134">
        <f t="shared" si="147"/>
        <v>19.2424</v>
      </c>
      <c r="N117" s="135">
        <f t="shared" si="148"/>
        <v>19.2424</v>
      </c>
    </row>
    <row r="118" ht="14.25">
      <c r="B118" s="71" t="s">
        <v>61</v>
      </c>
      <c r="C118" s="133">
        <f t="shared" si="137"/>
        <v>19.2424</v>
      </c>
      <c r="D118" s="134">
        <f t="shared" si="138"/>
        <v>19.2424</v>
      </c>
      <c r="E118" s="134">
        <f t="shared" si="139"/>
        <v>19.2424</v>
      </c>
      <c r="F118" s="122">
        <f t="shared" si="140"/>
        <v>19.2424</v>
      </c>
      <c r="G118" s="122">
        <f t="shared" si="141"/>
        <v>19.2424</v>
      </c>
      <c r="H118" s="122">
        <f t="shared" si="142"/>
        <v>19.2424</v>
      </c>
      <c r="I118" s="122">
        <f t="shared" si="143"/>
        <v>19.2424</v>
      </c>
      <c r="J118" s="122">
        <f t="shared" si="144"/>
        <v>19.2424</v>
      </c>
      <c r="K118" s="122">
        <f t="shared" si="145"/>
        <v>19.2424</v>
      </c>
      <c r="L118" s="134">
        <f t="shared" si="146"/>
        <v>19.2424</v>
      </c>
      <c r="M118" s="134">
        <f t="shared" si="147"/>
        <v>19.2424</v>
      </c>
      <c r="N118" s="135">
        <f t="shared" si="148"/>
        <v>19.2424</v>
      </c>
    </row>
    <row r="119" ht="14.25">
      <c r="B119" s="71" t="s">
        <v>62</v>
      </c>
      <c r="C119" s="133">
        <f t="shared" si="137"/>
        <v>19.2424</v>
      </c>
      <c r="D119" s="134">
        <f t="shared" si="138"/>
        <v>19.2424</v>
      </c>
      <c r="E119" s="134">
        <f t="shared" si="139"/>
        <v>19.2424</v>
      </c>
      <c r="F119" s="122">
        <f t="shared" si="140"/>
        <v>19.2424</v>
      </c>
      <c r="G119" s="122">
        <f t="shared" si="141"/>
        <v>19.2424</v>
      </c>
      <c r="H119" s="122">
        <f t="shared" si="142"/>
        <v>19.2424</v>
      </c>
      <c r="I119" s="122">
        <f t="shared" si="143"/>
        <v>19.2424</v>
      </c>
      <c r="J119" s="122">
        <f t="shared" si="144"/>
        <v>19.2424</v>
      </c>
      <c r="K119" s="122">
        <f t="shared" si="145"/>
        <v>19.2424</v>
      </c>
      <c r="L119" s="134">
        <f t="shared" si="146"/>
        <v>19.2424</v>
      </c>
      <c r="M119" s="134">
        <f t="shared" si="147"/>
        <v>19.2424</v>
      </c>
      <c r="N119" s="135">
        <f t="shared" si="148"/>
        <v>19.2424</v>
      </c>
    </row>
    <row r="120" ht="14.25">
      <c r="B120" s="71" t="s">
        <v>63</v>
      </c>
      <c r="C120" s="136">
        <f t="shared" ref="C120:C134" si="149">$E$51</f>
        <v>22.6996</v>
      </c>
      <c r="D120" s="120">
        <f t="shared" ref="D120:D134" si="150">$E$51</f>
        <v>22.6996</v>
      </c>
      <c r="E120" s="120">
        <f t="shared" ref="E120:E134" si="151">$E$51</f>
        <v>22.6996</v>
      </c>
      <c r="F120" s="124">
        <f t="shared" ref="F120:F137" si="152">$E$53</f>
        <v>20.3948</v>
      </c>
      <c r="G120" s="124">
        <f t="shared" ref="G120:G137" si="153">$E$53</f>
        <v>20.3948</v>
      </c>
      <c r="H120" s="124">
        <f t="shared" ref="H120:H137" si="154">$E$53</f>
        <v>20.3948</v>
      </c>
      <c r="I120" s="124">
        <f t="shared" ref="I120:I137" si="155">$E$53</f>
        <v>20.3948</v>
      </c>
      <c r="J120" s="124">
        <f t="shared" ref="J120:J137" si="156">$E$53</f>
        <v>20.3948</v>
      </c>
      <c r="K120" s="124">
        <f t="shared" ref="K120:K137" si="157">$E$53</f>
        <v>20.3948</v>
      </c>
      <c r="L120" s="120">
        <f t="shared" ref="L120:L134" si="158">$E$51</f>
        <v>22.6996</v>
      </c>
      <c r="M120" s="120">
        <f t="shared" ref="M120:M134" si="159">$E$51</f>
        <v>22.6996</v>
      </c>
      <c r="N120" s="137">
        <f t="shared" ref="N120:N134" si="160">$E$51</f>
        <v>22.6996</v>
      </c>
    </row>
    <row r="121" ht="14.25">
      <c r="B121" s="71" t="s">
        <v>64</v>
      </c>
      <c r="C121" s="136">
        <f t="shared" si="149"/>
        <v>22.6996</v>
      </c>
      <c r="D121" s="120">
        <f t="shared" si="150"/>
        <v>22.6996</v>
      </c>
      <c r="E121" s="120">
        <f t="shared" si="151"/>
        <v>22.6996</v>
      </c>
      <c r="F121" s="124">
        <f t="shared" si="152"/>
        <v>20.3948</v>
      </c>
      <c r="G121" s="124">
        <f t="shared" si="153"/>
        <v>20.3948</v>
      </c>
      <c r="H121" s="124">
        <f t="shared" si="154"/>
        <v>20.3948</v>
      </c>
      <c r="I121" s="124">
        <f t="shared" si="155"/>
        <v>20.3948</v>
      </c>
      <c r="J121" s="124">
        <f t="shared" si="156"/>
        <v>20.3948</v>
      </c>
      <c r="K121" s="124">
        <f t="shared" si="157"/>
        <v>20.3948</v>
      </c>
      <c r="L121" s="120">
        <f t="shared" si="158"/>
        <v>22.6996</v>
      </c>
      <c r="M121" s="120">
        <f t="shared" si="159"/>
        <v>22.6996</v>
      </c>
      <c r="N121" s="137">
        <f t="shared" si="160"/>
        <v>22.6996</v>
      </c>
    </row>
    <row r="122" ht="14.25">
      <c r="B122" s="71" t="s">
        <v>65</v>
      </c>
      <c r="C122" s="136">
        <f t="shared" si="149"/>
        <v>22.6996</v>
      </c>
      <c r="D122" s="120">
        <f t="shared" si="150"/>
        <v>22.6996</v>
      </c>
      <c r="E122" s="120">
        <f t="shared" si="151"/>
        <v>22.6996</v>
      </c>
      <c r="F122" s="124">
        <f t="shared" si="152"/>
        <v>20.3948</v>
      </c>
      <c r="G122" s="124">
        <f t="shared" si="153"/>
        <v>20.3948</v>
      </c>
      <c r="H122" s="124">
        <f t="shared" si="154"/>
        <v>20.3948</v>
      </c>
      <c r="I122" s="124">
        <f t="shared" si="155"/>
        <v>20.3948</v>
      </c>
      <c r="J122" s="124">
        <f t="shared" si="156"/>
        <v>20.3948</v>
      </c>
      <c r="K122" s="124">
        <f t="shared" si="157"/>
        <v>20.3948</v>
      </c>
      <c r="L122" s="120">
        <f t="shared" si="158"/>
        <v>22.6996</v>
      </c>
      <c r="M122" s="120">
        <f t="shared" si="159"/>
        <v>22.6996</v>
      </c>
      <c r="N122" s="137">
        <f t="shared" si="160"/>
        <v>22.6996</v>
      </c>
    </row>
    <row r="123" ht="14.25">
      <c r="B123" s="71" t="s">
        <v>66</v>
      </c>
      <c r="C123" s="136">
        <f t="shared" si="149"/>
        <v>22.6996</v>
      </c>
      <c r="D123" s="120">
        <f t="shared" si="150"/>
        <v>22.6996</v>
      </c>
      <c r="E123" s="120">
        <f t="shared" si="151"/>
        <v>22.6996</v>
      </c>
      <c r="F123" s="124">
        <f t="shared" si="152"/>
        <v>20.3948</v>
      </c>
      <c r="G123" s="124">
        <f t="shared" si="153"/>
        <v>20.3948</v>
      </c>
      <c r="H123" s="124">
        <f t="shared" si="154"/>
        <v>20.3948</v>
      </c>
      <c r="I123" s="124">
        <f t="shared" si="155"/>
        <v>20.3948</v>
      </c>
      <c r="J123" s="124">
        <f t="shared" si="156"/>
        <v>20.3948</v>
      </c>
      <c r="K123" s="124">
        <f t="shared" si="157"/>
        <v>20.3948</v>
      </c>
      <c r="L123" s="120">
        <f t="shared" si="158"/>
        <v>22.6996</v>
      </c>
      <c r="M123" s="120">
        <f t="shared" si="159"/>
        <v>22.6996</v>
      </c>
      <c r="N123" s="137">
        <f t="shared" si="160"/>
        <v>22.6996</v>
      </c>
    </row>
    <row r="124" ht="14.25">
      <c r="B124" s="71" t="s">
        <v>67</v>
      </c>
      <c r="C124" s="136">
        <f t="shared" si="149"/>
        <v>22.6996</v>
      </c>
      <c r="D124" s="120">
        <f t="shared" si="150"/>
        <v>22.6996</v>
      </c>
      <c r="E124" s="120">
        <f t="shared" si="151"/>
        <v>22.6996</v>
      </c>
      <c r="F124" s="124">
        <f t="shared" si="152"/>
        <v>20.3948</v>
      </c>
      <c r="G124" s="124">
        <f t="shared" si="153"/>
        <v>20.3948</v>
      </c>
      <c r="H124" s="124">
        <f t="shared" si="154"/>
        <v>20.3948</v>
      </c>
      <c r="I124" s="124">
        <f t="shared" si="155"/>
        <v>20.3948</v>
      </c>
      <c r="J124" s="124">
        <f t="shared" si="156"/>
        <v>20.3948</v>
      </c>
      <c r="K124" s="124">
        <f t="shared" si="157"/>
        <v>20.3948</v>
      </c>
      <c r="L124" s="120">
        <f t="shared" si="158"/>
        <v>22.6996</v>
      </c>
      <c r="M124" s="120">
        <f t="shared" si="159"/>
        <v>22.6996</v>
      </c>
      <c r="N124" s="137">
        <f t="shared" si="160"/>
        <v>22.6996</v>
      </c>
    </row>
    <row r="125" ht="14.25">
      <c r="B125" s="71" t="s">
        <v>68</v>
      </c>
      <c r="C125" s="136">
        <f t="shared" si="149"/>
        <v>22.6996</v>
      </c>
      <c r="D125" s="120">
        <f t="shared" si="150"/>
        <v>22.6996</v>
      </c>
      <c r="E125" s="120">
        <f t="shared" si="151"/>
        <v>22.6996</v>
      </c>
      <c r="F125" s="124">
        <f t="shared" si="152"/>
        <v>20.3948</v>
      </c>
      <c r="G125" s="124">
        <f t="shared" si="153"/>
        <v>20.3948</v>
      </c>
      <c r="H125" s="124">
        <f t="shared" si="154"/>
        <v>20.3948</v>
      </c>
      <c r="I125" s="124">
        <f t="shared" si="155"/>
        <v>20.3948</v>
      </c>
      <c r="J125" s="124">
        <f t="shared" si="156"/>
        <v>20.3948</v>
      </c>
      <c r="K125" s="124">
        <f t="shared" si="157"/>
        <v>20.3948</v>
      </c>
      <c r="L125" s="120">
        <f t="shared" si="158"/>
        <v>22.6996</v>
      </c>
      <c r="M125" s="120">
        <f t="shared" si="159"/>
        <v>22.6996</v>
      </c>
      <c r="N125" s="137">
        <f t="shared" si="160"/>
        <v>22.6996</v>
      </c>
    </row>
    <row r="126" ht="14.25">
      <c r="B126" s="71" t="s">
        <v>69</v>
      </c>
      <c r="C126" s="136">
        <f t="shared" si="149"/>
        <v>22.6996</v>
      </c>
      <c r="D126" s="120">
        <f t="shared" si="150"/>
        <v>22.6996</v>
      </c>
      <c r="E126" s="120">
        <f t="shared" si="151"/>
        <v>22.6996</v>
      </c>
      <c r="F126" s="124">
        <f t="shared" si="152"/>
        <v>20.3948</v>
      </c>
      <c r="G126" s="124">
        <f t="shared" si="153"/>
        <v>20.3948</v>
      </c>
      <c r="H126" s="124">
        <f t="shared" si="154"/>
        <v>20.3948</v>
      </c>
      <c r="I126" s="124">
        <f t="shared" si="155"/>
        <v>20.3948</v>
      </c>
      <c r="J126" s="124">
        <f t="shared" si="156"/>
        <v>20.3948</v>
      </c>
      <c r="K126" s="124">
        <f t="shared" si="157"/>
        <v>20.3948</v>
      </c>
      <c r="L126" s="120">
        <f t="shared" si="158"/>
        <v>22.6996</v>
      </c>
      <c r="M126" s="120">
        <f t="shared" si="159"/>
        <v>22.6996</v>
      </c>
      <c r="N126" s="137">
        <f t="shared" si="160"/>
        <v>22.6996</v>
      </c>
    </row>
    <row r="127" ht="14.25">
      <c r="B127" s="71" t="s">
        <v>70</v>
      </c>
      <c r="C127" s="136">
        <f t="shared" si="149"/>
        <v>22.6996</v>
      </c>
      <c r="D127" s="120">
        <f t="shared" si="150"/>
        <v>22.6996</v>
      </c>
      <c r="E127" s="120">
        <f t="shared" si="151"/>
        <v>22.6996</v>
      </c>
      <c r="F127" s="124">
        <f t="shared" si="152"/>
        <v>20.3948</v>
      </c>
      <c r="G127" s="124">
        <f t="shared" si="153"/>
        <v>20.3948</v>
      </c>
      <c r="H127" s="124">
        <f t="shared" si="154"/>
        <v>20.3948</v>
      </c>
      <c r="I127" s="124">
        <f t="shared" si="155"/>
        <v>20.3948</v>
      </c>
      <c r="J127" s="124">
        <f t="shared" si="156"/>
        <v>20.3948</v>
      </c>
      <c r="K127" s="124">
        <f t="shared" si="157"/>
        <v>20.3948</v>
      </c>
      <c r="L127" s="120">
        <f t="shared" si="158"/>
        <v>22.6996</v>
      </c>
      <c r="M127" s="120">
        <f t="shared" si="159"/>
        <v>22.6996</v>
      </c>
      <c r="N127" s="137">
        <f t="shared" si="160"/>
        <v>22.6996</v>
      </c>
    </row>
    <row r="128" ht="14.25">
      <c r="B128" s="71" t="s">
        <v>71</v>
      </c>
      <c r="C128" s="136">
        <f t="shared" si="149"/>
        <v>22.6996</v>
      </c>
      <c r="D128" s="120">
        <f t="shared" si="150"/>
        <v>22.6996</v>
      </c>
      <c r="E128" s="120">
        <f t="shared" si="151"/>
        <v>22.6996</v>
      </c>
      <c r="F128" s="124">
        <f t="shared" si="152"/>
        <v>20.3948</v>
      </c>
      <c r="G128" s="124">
        <f t="shared" si="153"/>
        <v>20.3948</v>
      </c>
      <c r="H128" s="124">
        <f t="shared" si="154"/>
        <v>20.3948</v>
      </c>
      <c r="I128" s="124">
        <f t="shared" si="155"/>
        <v>20.3948</v>
      </c>
      <c r="J128" s="124">
        <f t="shared" si="156"/>
        <v>20.3948</v>
      </c>
      <c r="K128" s="124">
        <f t="shared" si="157"/>
        <v>20.3948</v>
      </c>
      <c r="L128" s="120">
        <f t="shared" si="158"/>
        <v>22.6996</v>
      </c>
      <c r="M128" s="120">
        <f t="shared" si="159"/>
        <v>22.6996</v>
      </c>
      <c r="N128" s="137">
        <f t="shared" si="160"/>
        <v>22.6996</v>
      </c>
    </row>
    <row r="129" ht="14.25">
      <c r="B129" s="71" t="s">
        <v>72</v>
      </c>
      <c r="C129" s="136">
        <f t="shared" si="149"/>
        <v>22.6996</v>
      </c>
      <c r="D129" s="120">
        <f t="shared" si="150"/>
        <v>22.6996</v>
      </c>
      <c r="E129" s="120">
        <f t="shared" si="151"/>
        <v>22.6996</v>
      </c>
      <c r="F129" s="124">
        <f t="shared" si="152"/>
        <v>20.3948</v>
      </c>
      <c r="G129" s="124">
        <f t="shared" si="153"/>
        <v>20.3948</v>
      </c>
      <c r="H129" s="124">
        <f t="shared" si="154"/>
        <v>20.3948</v>
      </c>
      <c r="I129" s="124">
        <f t="shared" si="155"/>
        <v>20.3948</v>
      </c>
      <c r="J129" s="124">
        <f t="shared" si="156"/>
        <v>20.3948</v>
      </c>
      <c r="K129" s="124">
        <f t="shared" si="157"/>
        <v>20.3948</v>
      </c>
      <c r="L129" s="120">
        <f t="shared" si="158"/>
        <v>22.6996</v>
      </c>
      <c r="M129" s="120">
        <f t="shared" si="159"/>
        <v>22.6996</v>
      </c>
      <c r="N129" s="137">
        <f t="shared" si="160"/>
        <v>22.6996</v>
      </c>
    </row>
    <row r="130" ht="14.25">
      <c r="B130" s="71" t="s">
        <v>73</v>
      </c>
      <c r="C130" s="136">
        <f t="shared" si="149"/>
        <v>22.6996</v>
      </c>
      <c r="D130" s="120">
        <f t="shared" si="150"/>
        <v>22.6996</v>
      </c>
      <c r="E130" s="120">
        <f t="shared" si="151"/>
        <v>22.6996</v>
      </c>
      <c r="F130" s="124">
        <f t="shared" si="152"/>
        <v>20.3948</v>
      </c>
      <c r="G130" s="124">
        <f t="shared" si="153"/>
        <v>20.3948</v>
      </c>
      <c r="H130" s="124">
        <f t="shared" si="154"/>
        <v>20.3948</v>
      </c>
      <c r="I130" s="124">
        <f t="shared" si="155"/>
        <v>20.3948</v>
      </c>
      <c r="J130" s="124">
        <f t="shared" si="156"/>
        <v>20.3948</v>
      </c>
      <c r="K130" s="124">
        <f t="shared" si="157"/>
        <v>20.3948</v>
      </c>
      <c r="L130" s="120">
        <f t="shared" si="158"/>
        <v>22.6996</v>
      </c>
      <c r="M130" s="120">
        <f t="shared" si="159"/>
        <v>22.6996</v>
      </c>
      <c r="N130" s="137">
        <f t="shared" si="160"/>
        <v>22.6996</v>
      </c>
    </row>
    <row r="131" ht="14.25">
      <c r="B131" s="71" t="s">
        <v>74</v>
      </c>
      <c r="C131" s="136">
        <f t="shared" si="149"/>
        <v>22.6996</v>
      </c>
      <c r="D131" s="120">
        <f t="shared" si="150"/>
        <v>22.6996</v>
      </c>
      <c r="E131" s="120">
        <f t="shared" si="151"/>
        <v>22.6996</v>
      </c>
      <c r="F131" s="124">
        <f t="shared" si="152"/>
        <v>20.3948</v>
      </c>
      <c r="G131" s="124">
        <f t="shared" si="153"/>
        <v>20.3948</v>
      </c>
      <c r="H131" s="124">
        <f t="shared" si="154"/>
        <v>20.3948</v>
      </c>
      <c r="I131" s="124">
        <f t="shared" si="155"/>
        <v>20.3948</v>
      </c>
      <c r="J131" s="124">
        <f t="shared" si="156"/>
        <v>20.3948</v>
      </c>
      <c r="K131" s="124">
        <f t="shared" si="157"/>
        <v>20.3948</v>
      </c>
      <c r="L131" s="120">
        <f t="shared" si="158"/>
        <v>22.6996</v>
      </c>
      <c r="M131" s="120">
        <f t="shared" si="159"/>
        <v>22.6996</v>
      </c>
      <c r="N131" s="137">
        <f t="shared" si="160"/>
        <v>22.6996</v>
      </c>
    </row>
    <row r="132" ht="14.25">
      <c r="B132" s="71" t="s">
        <v>75</v>
      </c>
      <c r="C132" s="136">
        <f t="shared" si="149"/>
        <v>22.6996</v>
      </c>
      <c r="D132" s="120">
        <f t="shared" si="150"/>
        <v>22.6996</v>
      </c>
      <c r="E132" s="120">
        <f t="shared" si="151"/>
        <v>22.6996</v>
      </c>
      <c r="F132" s="124">
        <f t="shared" si="152"/>
        <v>20.3948</v>
      </c>
      <c r="G132" s="124">
        <f t="shared" si="153"/>
        <v>20.3948</v>
      </c>
      <c r="H132" s="124">
        <f t="shared" si="154"/>
        <v>20.3948</v>
      </c>
      <c r="I132" s="124">
        <f t="shared" si="155"/>
        <v>20.3948</v>
      </c>
      <c r="J132" s="124">
        <f t="shared" si="156"/>
        <v>20.3948</v>
      </c>
      <c r="K132" s="124">
        <f t="shared" si="157"/>
        <v>20.3948</v>
      </c>
      <c r="L132" s="120">
        <f t="shared" si="158"/>
        <v>22.6996</v>
      </c>
      <c r="M132" s="120">
        <f t="shared" si="159"/>
        <v>22.6996</v>
      </c>
      <c r="N132" s="137">
        <f t="shared" si="160"/>
        <v>22.6996</v>
      </c>
    </row>
    <row r="133" ht="14.25">
      <c r="B133" s="71" t="s">
        <v>76</v>
      </c>
      <c r="C133" s="136">
        <f t="shared" si="149"/>
        <v>22.6996</v>
      </c>
      <c r="D133" s="120">
        <f t="shared" si="150"/>
        <v>22.6996</v>
      </c>
      <c r="E133" s="120">
        <f t="shared" si="151"/>
        <v>22.6996</v>
      </c>
      <c r="F133" s="124">
        <f t="shared" si="152"/>
        <v>20.3948</v>
      </c>
      <c r="G133" s="124">
        <f t="shared" si="153"/>
        <v>20.3948</v>
      </c>
      <c r="H133" s="124">
        <f t="shared" si="154"/>
        <v>20.3948</v>
      </c>
      <c r="I133" s="124">
        <f t="shared" si="155"/>
        <v>20.3948</v>
      </c>
      <c r="J133" s="124">
        <f t="shared" si="156"/>
        <v>20.3948</v>
      </c>
      <c r="K133" s="124">
        <f t="shared" si="157"/>
        <v>20.3948</v>
      </c>
      <c r="L133" s="120">
        <f t="shared" si="158"/>
        <v>22.6996</v>
      </c>
      <c r="M133" s="120">
        <f t="shared" si="159"/>
        <v>22.6996</v>
      </c>
      <c r="N133" s="137">
        <f t="shared" si="160"/>
        <v>22.6996</v>
      </c>
    </row>
    <row r="134" ht="14.25">
      <c r="B134" s="71" t="s">
        <v>77</v>
      </c>
      <c r="C134" s="136">
        <f t="shared" si="149"/>
        <v>22.6996</v>
      </c>
      <c r="D134" s="120">
        <f t="shared" si="150"/>
        <v>22.6996</v>
      </c>
      <c r="E134" s="120">
        <f t="shared" si="151"/>
        <v>22.6996</v>
      </c>
      <c r="F134" s="124">
        <f t="shared" si="152"/>
        <v>20.3948</v>
      </c>
      <c r="G134" s="124">
        <f t="shared" si="153"/>
        <v>20.3948</v>
      </c>
      <c r="H134" s="124">
        <f t="shared" si="154"/>
        <v>20.3948</v>
      </c>
      <c r="I134" s="124">
        <f t="shared" si="155"/>
        <v>20.3948</v>
      </c>
      <c r="J134" s="124">
        <f t="shared" si="156"/>
        <v>20.3948</v>
      </c>
      <c r="K134" s="124">
        <f t="shared" si="157"/>
        <v>20.3948</v>
      </c>
      <c r="L134" s="120">
        <f t="shared" si="158"/>
        <v>22.6996</v>
      </c>
      <c r="M134" s="120">
        <f t="shared" si="159"/>
        <v>22.6996</v>
      </c>
      <c r="N134" s="137">
        <f t="shared" si="160"/>
        <v>22.6996</v>
      </c>
    </row>
    <row r="135" ht="14.25">
      <c r="B135" s="71" t="s">
        <v>78</v>
      </c>
      <c r="C135" s="138">
        <f t="shared" ref="C135:C137" si="161">$E$50</f>
        <v>20.3948</v>
      </c>
      <c r="D135" s="118">
        <f t="shared" ref="D135:D137" si="162">$E$50</f>
        <v>20.3948</v>
      </c>
      <c r="E135" s="118">
        <f t="shared" ref="E135:E137" si="163">$E$50</f>
        <v>20.3948</v>
      </c>
      <c r="F135" s="124">
        <f t="shared" si="152"/>
        <v>20.3948</v>
      </c>
      <c r="G135" s="124">
        <f t="shared" si="153"/>
        <v>20.3948</v>
      </c>
      <c r="H135" s="124">
        <f t="shared" si="154"/>
        <v>20.3948</v>
      </c>
      <c r="I135" s="124">
        <f t="shared" si="155"/>
        <v>20.3948</v>
      </c>
      <c r="J135" s="124">
        <f t="shared" si="156"/>
        <v>20.3948</v>
      </c>
      <c r="K135" s="124">
        <f t="shared" si="157"/>
        <v>20.3948</v>
      </c>
      <c r="L135" s="118">
        <f t="shared" ref="L135:L137" si="164">$E$50</f>
        <v>20.3948</v>
      </c>
      <c r="M135" s="118">
        <f t="shared" ref="M135:M137" si="165">$E$50</f>
        <v>20.3948</v>
      </c>
      <c r="N135" s="139">
        <f t="shared" ref="N135:N137" si="166">$E$50</f>
        <v>20.3948</v>
      </c>
    </row>
    <row r="136" ht="14.25">
      <c r="B136" s="71" t="s">
        <v>79</v>
      </c>
      <c r="C136" s="138">
        <f t="shared" si="161"/>
        <v>20.3948</v>
      </c>
      <c r="D136" s="118">
        <f t="shared" si="162"/>
        <v>20.3948</v>
      </c>
      <c r="E136" s="118">
        <f t="shared" si="163"/>
        <v>20.3948</v>
      </c>
      <c r="F136" s="124">
        <f t="shared" si="152"/>
        <v>20.3948</v>
      </c>
      <c r="G136" s="124">
        <f t="shared" si="153"/>
        <v>20.3948</v>
      </c>
      <c r="H136" s="124">
        <f t="shared" si="154"/>
        <v>20.3948</v>
      </c>
      <c r="I136" s="124">
        <f t="shared" si="155"/>
        <v>20.3948</v>
      </c>
      <c r="J136" s="124">
        <f t="shared" si="156"/>
        <v>20.3948</v>
      </c>
      <c r="K136" s="124">
        <f t="shared" si="157"/>
        <v>20.3948</v>
      </c>
      <c r="L136" s="118">
        <f t="shared" si="164"/>
        <v>20.3948</v>
      </c>
      <c r="M136" s="118">
        <f t="shared" si="165"/>
        <v>20.3948</v>
      </c>
      <c r="N136" s="139">
        <f t="shared" si="166"/>
        <v>20.3948</v>
      </c>
    </row>
    <row r="137" ht="14.25">
      <c r="B137" s="82" t="s">
        <v>80</v>
      </c>
      <c r="C137" s="141">
        <f t="shared" si="161"/>
        <v>20.3948</v>
      </c>
      <c r="D137" s="142">
        <f t="shared" si="162"/>
        <v>20.3948</v>
      </c>
      <c r="E137" s="142">
        <f t="shared" si="163"/>
        <v>20.3948</v>
      </c>
      <c r="F137" s="143">
        <f t="shared" si="152"/>
        <v>20.3948</v>
      </c>
      <c r="G137" s="143">
        <f t="shared" si="153"/>
        <v>20.3948</v>
      </c>
      <c r="H137" s="143">
        <f t="shared" si="154"/>
        <v>20.3948</v>
      </c>
      <c r="I137" s="143">
        <f t="shared" si="155"/>
        <v>20.3948</v>
      </c>
      <c r="J137" s="143">
        <f t="shared" si="156"/>
        <v>20.3948</v>
      </c>
      <c r="K137" s="143">
        <f t="shared" si="157"/>
        <v>20.3948</v>
      </c>
      <c r="L137" s="142">
        <f t="shared" si="164"/>
        <v>20.3948</v>
      </c>
      <c r="M137" s="142">
        <f t="shared" si="165"/>
        <v>20.3948</v>
      </c>
      <c r="N137" s="144">
        <f t="shared" si="166"/>
        <v>20.3948</v>
      </c>
    </row>
  </sheetData>
  <mergeCells count="13">
    <mergeCell ref="B2:B3"/>
    <mergeCell ref="B22:B23"/>
    <mergeCell ref="C22:C23"/>
    <mergeCell ref="D22:F22"/>
    <mergeCell ref="B32:B33"/>
    <mergeCell ref="C32:C33"/>
    <mergeCell ref="D32:F32"/>
    <mergeCell ref="B37:B38"/>
    <mergeCell ref="C37:C38"/>
    <mergeCell ref="D37:F37"/>
    <mergeCell ref="C56:N56"/>
    <mergeCell ref="C84:N84"/>
    <mergeCell ref="C112:N112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7" zoomScale="100" workbookViewId="0">
      <selection activeCell="A1" activeCellId="0" sqref="A1"/>
    </sheetView>
  </sheetViews>
  <sheetFormatPr defaultRowHeight="14.25"/>
  <cols>
    <col customWidth="1" min="2" max="6" width="15.7109375"/>
  </cols>
  <sheetData>
    <row r="2" s="17" customFormat="1" ht="15">
      <c r="A2" s="1"/>
      <c r="B2" s="2" t="s">
        <v>85</v>
      </c>
      <c r="C2" s="3"/>
      <c r="D2" s="3"/>
      <c r="E2" s="3"/>
      <c r="F2" s="3"/>
    </row>
    <row r="4" ht="14.25">
      <c r="B4" s="147" t="s">
        <v>1</v>
      </c>
      <c r="C4" s="147" t="s">
        <v>2</v>
      </c>
      <c r="D4" s="147" t="s">
        <v>3</v>
      </c>
      <c r="E4" s="147" t="s">
        <v>4</v>
      </c>
      <c r="F4" s="148" t="s">
        <v>5</v>
      </c>
    </row>
    <row r="5" ht="14.25">
      <c r="B5" s="10" t="s">
        <v>6</v>
      </c>
      <c r="C5" s="10" t="s">
        <v>7</v>
      </c>
      <c r="D5" s="11" t="s">
        <v>113</v>
      </c>
      <c r="E5" s="11" t="s">
        <v>114</v>
      </c>
      <c r="F5" s="13" t="s">
        <v>115</v>
      </c>
    </row>
    <row r="6" ht="14.25">
      <c r="B6" s="10" t="s">
        <v>11</v>
      </c>
      <c r="C6" s="10" t="s">
        <v>12</v>
      </c>
      <c r="D6" s="11" t="s">
        <v>116</v>
      </c>
      <c r="E6" s="11" t="s">
        <v>117</v>
      </c>
      <c r="F6" s="13" t="s">
        <v>118</v>
      </c>
    </row>
    <row r="7" ht="14.25">
      <c r="B7" s="10" t="s">
        <v>16</v>
      </c>
      <c r="C7" s="10" t="s">
        <v>17</v>
      </c>
      <c r="D7" s="11" t="s">
        <v>116</v>
      </c>
      <c r="E7" s="11" t="s">
        <v>117</v>
      </c>
      <c r="F7" s="13" t="s">
        <v>118</v>
      </c>
    </row>
    <row r="8" ht="14.25">
      <c r="B8" s="15" t="s">
        <v>18</v>
      </c>
      <c r="C8" s="15" t="s">
        <v>17</v>
      </c>
      <c r="D8" s="149" t="s">
        <v>116</v>
      </c>
      <c r="E8" s="149" t="s">
        <v>117</v>
      </c>
      <c r="F8" s="150" t="s">
        <v>118</v>
      </c>
    </row>
    <row r="11" s="17" customFormat="1" ht="15">
      <c r="A11" s="17"/>
      <c r="B11" s="2" t="s">
        <v>20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4" ht="28.5">
      <c r="B14" s="39"/>
      <c r="C14" s="39"/>
      <c r="D14" s="101" t="s">
        <v>119</v>
      </c>
      <c r="E14" s="101"/>
    </row>
    <row r="15" ht="28.5">
      <c r="B15" s="151" t="s">
        <v>3</v>
      </c>
      <c r="C15" s="151" t="s">
        <v>4</v>
      </c>
      <c r="D15" s="152" t="s">
        <v>120</v>
      </c>
      <c r="E15" s="152" t="s">
        <v>121</v>
      </c>
    </row>
    <row r="16" ht="14.25">
      <c r="B16" s="11" t="s">
        <v>113</v>
      </c>
      <c r="C16" s="11" t="s">
        <v>114</v>
      </c>
      <c r="D16">
        <v>3.3100000000000001</v>
      </c>
      <c r="E16">
        <v>83.829999999999998</v>
      </c>
    </row>
    <row r="17" ht="14.25">
      <c r="B17" s="149" t="s">
        <v>116</v>
      </c>
      <c r="C17" s="149" t="s">
        <v>117</v>
      </c>
      <c r="D17" s="34">
        <v>4.7599999999999998</v>
      </c>
      <c r="E17" s="34">
        <v>5.4100000000000001</v>
      </c>
    </row>
    <row r="20" s="17" customFormat="1" ht="14.25">
      <c r="A20" s="17"/>
      <c r="B20" s="2" t="s">
        <v>42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</row>
    <row r="23" ht="14.25">
      <c r="B23" s="35"/>
      <c r="C23" s="127" t="s">
        <v>122</v>
      </c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</row>
    <row r="24" ht="14.25">
      <c r="B24" s="69"/>
      <c r="C24" s="145" t="s">
        <v>45</v>
      </c>
      <c r="D24" s="55" t="s">
        <v>46</v>
      </c>
      <c r="E24" s="55" t="s">
        <v>47</v>
      </c>
      <c r="F24" s="55" t="s">
        <v>48</v>
      </c>
      <c r="G24" s="55" t="s">
        <v>49</v>
      </c>
      <c r="H24" s="55" t="s">
        <v>50</v>
      </c>
      <c r="I24" s="55" t="s">
        <v>51</v>
      </c>
      <c r="J24" s="55" t="s">
        <v>52</v>
      </c>
      <c r="K24" s="55" t="s">
        <v>53</v>
      </c>
      <c r="L24" s="55" t="s">
        <v>54</v>
      </c>
      <c r="M24" s="55" t="s">
        <v>55</v>
      </c>
      <c r="N24" s="70" t="s">
        <v>56</v>
      </c>
    </row>
    <row r="25" ht="14.25">
      <c r="B25" s="146" t="s">
        <v>57</v>
      </c>
      <c r="C25" s="134">
        <f t="shared" ref="C25:C48" si="167">$D$16*(1000/100)</f>
        <v>33.100000000000001</v>
      </c>
      <c r="D25" s="134">
        <f t="shared" ref="D25:D48" si="168">$D$16*(1000/100)</f>
        <v>33.100000000000001</v>
      </c>
      <c r="E25" s="134">
        <f t="shared" ref="E25:E48" si="169">$D$16*(1000/100)</f>
        <v>33.100000000000001</v>
      </c>
      <c r="F25" s="134">
        <f t="shared" ref="F25:F48" si="170">$D$16*(1000/100)</f>
        <v>33.100000000000001</v>
      </c>
      <c r="G25" s="134">
        <f t="shared" ref="G25:G48" si="171">$D$16*(1000/100)</f>
        <v>33.100000000000001</v>
      </c>
      <c r="H25" s="134">
        <f t="shared" ref="H25:H48" si="172">$D$16*(1000/100)</f>
        <v>33.100000000000001</v>
      </c>
      <c r="I25" s="134">
        <f t="shared" ref="I25:I48" si="173">$D$16*(1000/100)</f>
        <v>33.100000000000001</v>
      </c>
      <c r="J25" s="134">
        <f t="shared" ref="J25:J48" si="174">$D$16*(1000/100)</f>
        <v>33.100000000000001</v>
      </c>
      <c r="K25" s="134">
        <f t="shared" ref="K25:K48" si="175">$D$16*(1000/100)</f>
        <v>33.100000000000001</v>
      </c>
      <c r="L25" s="134">
        <f t="shared" ref="L25:L48" si="176">$D$16*(1000/100)</f>
        <v>33.100000000000001</v>
      </c>
      <c r="M25" s="134">
        <f t="shared" ref="M25:M48" si="177">$D$16*(1000/100)</f>
        <v>33.100000000000001</v>
      </c>
      <c r="N25" s="131">
        <f t="shared" ref="N25:N48" si="178">$D$16*(1000/100)</f>
        <v>33.100000000000001</v>
      </c>
    </row>
    <row r="26" ht="14.25">
      <c r="B26" s="71" t="s">
        <v>58</v>
      </c>
      <c r="C26" s="134">
        <f t="shared" si="167"/>
        <v>33.100000000000001</v>
      </c>
      <c r="D26" s="134">
        <f t="shared" si="168"/>
        <v>33.100000000000001</v>
      </c>
      <c r="E26" s="134">
        <f t="shared" si="169"/>
        <v>33.100000000000001</v>
      </c>
      <c r="F26" s="134">
        <f t="shared" si="170"/>
        <v>33.100000000000001</v>
      </c>
      <c r="G26" s="134">
        <f t="shared" si="171"/>
        <v>33.100000000000001</v>
      </c>
      <c r="H26" s="134">
        <f t="shared" si="172"/>
        <v>33.100000000000001</v>
      </c>
      <c r="I26" s="134">
        <f t="shared" si="173"/>
        <v>33.100000000000001</v>
      </c>
      <c r="J26" s="134">
        <f t="shared" si="174"/>
        <v>33.100000000000001</v>
      </c>
      <c r="K26" s="134">
        <f t="shared" si="175"/>
        <v>33.100000000000001</v>
      </c>
      <c r="L26" s="134">
        <f t="shared" si="176"/>
        <v>33.100000000000001</v>
      </c>
      <c r="M26" s="134">
        <f t="shared" si="177"/>
        <v>33.100000000000001</v>
      </c>
      <c r="N26" s="135">
        <f t="shared" si="178"/>
        <v>33.100000000000001</v>
      </c>
    </row>
    <row r="27" ht="14.25">
      <c r="B27" s="71" t="s">
        <v>59</v>
      </c>
      <c r="C27" s="134">
        <f t="shared" si="167"/>
        <v>33.100000000000001</v>
      </c>
      <c r="D27" s="134">
        <f t="shared" si="168"/>
        <v>33.100000000000001</v>
      </c>
      <c r="E27" s="134">
        <f t="shared" si="169"/>
        <v>33.100000000000001</v>
      </c>
      <c r="F27" s="134">
        <f t="shared" si="170"/>
        <v>33.100000000000001</v>
      </c>
      <c r="G27" s="134">
        <f t="shared" si="171"/>
        <v>33.100000000000001</v>
      </c>
      <c r="H27" s="134">
        <f t="shared" si="172"/>
        <v>33.100000000000001</v>
      </c>
      <c r="I27" s="134">
        <f t="shared" si="173"/>
        <v>33.100000000000001</v>
      </c>
      <c r="J27" s="134">
        <f t="shared" si="174"/>
        <v>33.100000000000001</v>
      </c>
      <c r="K27" s="134">
        <f t="shared" si="175"/>
        <v>33.100000000000001</v>
      </c>
      <c r="L27" s="134">
        <f t="shared" si="176"/>
        <v>33.100000000000001</v>
      </c>
      <c r="M27" s="134">
        <f t="shared" si="177"/>
        <v>33.100000000000001</v>
      </c>
      <c r="N27" s="135">
        <f t="shared" si="178"/>
        <v>33.100000000000001</v>
      </c>
    </row>
    <row r="28" ht="14.25">
      <c r="B28" s="71" t="s">
        <v>60</v>
      </c>
      <c r="C28" s="134">
        <f t="shared" si="167"/>
        <v>33.100000000000001</v>
      </c>
      <c r="D28" s="134">
        <f t="shared" si="168"/>
        <v>33.100000000000001</v>
      </c>
      <c r="E28" s="134">
        <f t="shared" si="169"/>
        <v>33.100000000000001</v>
      </c>
      <c r="F28" s="134">
        <f t="shared" si="170"/>
        <v>33.100000000000001</v>
      </c>
      <c r="G28" s="134">
        <f t="shared" si="171"/>
        <v>33.100000000000001</v>
      </c>
      <c r="H28" s="134">
        <f t="shared" si="172"/>
        <v>33.100000000000001</v>
      </c>
      <c r="I28" s="134">
        <f t="shared" si="173"/>
        <v>33.100000000000001</v>
      </c>
      <c r="J28" s="134">
        <f t="shared" si="174"/>
        <v>33.100000000000001</v>
      </c>
      <c r="K28" s="134">
        <f t="shared" si="175"/>
        <v>33.100000000000001</v>
      </c>
      <c r="L28" s="134">
        <f t="shared" si="176"/>
        <v>33.100000000000001</v>
      </c>
      <c r="M28" s="134">
        <f t="shared" si="177"/>
        <v>33.100000000000001</v>
      </c>
      <c r="N28" s="135">
        <f t="shared" si="178"/>
        <v>33.100000000000001</v>
      </c>
    </row>
    <row r="29" ht="14.25">
      <c r="B29" s="71" t="s">
        <v>61</v>
      </c>
      <c r="C29" s="134">
        <f t="shared" si="167"/>
        <v>33.100000000000001</v>
      </c>
      <c r="D29" s="134">
        <f t="shared" si="168"/>
        <v>33.100000000000001</v>
      </c>
      <c r="E29" s="134">
        <f t="shared" si="169"/>
        <v>33.100000000000001</v>
      </c>
      <c r="F29" s="134">
        <f t="shared" si="170"/>
        <v>33.100000000000001</v>
      </c>
      <c r="G29" s="134">
        <f t="shared" si="171"/>
        <v>33.100000000000001</v>
      </c>
      <c r="H29" s="134">
        <f t="shared" si="172"/>
        <v>33.100000000000001</v>
      </c>
      <c r="I29" s="134">
        <f t="shared" si="173"/>
        <v>33.100000000000001</v>
      </c>
      <c r="J29" s="134">
        <f t="shared" si="174"/>
        <v>33.100000000000001</v>
      </c>
      <c r="K29" s="134">
        <f t="shared" si="175"/>
        <v>33.100000000000001</v>
      </c>
      <c r="L29" s="134">
        <f t="shared" si="176"/>
        <v>33.100000000000001</v>
      </c>
      <c r="M29" s="134">
        <f t="shared" si="177"/>
        <v>33.100000000000001</v>
      </c>
      <c r="N29" s="135">
        <f t="shared" si="178"/>
        <v>33.100000000000001</v>
      </c>
    </row>
    <row r="30" ht="14.25">
      <c r="B30" s="71" t="s">
        <v>62</v>
      </c>
      <c r="C30" s="134">
        <f t="shared" si="167"/>
        <v>33.100000000000001</v>
      </c>
      <c r="D30" s="134">
        <f t="shared" si="168"/>
        <v>33.100000000000001</v>
      </c>
      <c r="E30" s="134">
        <f t="shared" si="169"/>
        <v>33.100000000000001</v>
      </c>
      <c r="F30" s="134">
        <f t="shared" si="170"/>
        <v>33.100000000000001</v>
      </c>
      <c r="G30" s="134">
        <f t="shared" si="171"/>
        <v>33.100000000000001</v>
      </c>
      <c r="H30" s="134">
        <f t="shared" si="172"/>
        <v>33.100000000000001</v>
      </c>
      <c r="I30" s="134">
        <f t="shared" si="173"/>
        <v>33.100000000000001</v>
      </c>
      <c r="J30" s="134">
        <f t="shared" si="174"/>
        <v>33.100000000000001</v>
      </c>
      <c r="K30" s="134">
        <f t="shared" si="175"/>
        <v>33.100000000000001</v>
      </c>
      <c r="L30" s="134">
        <f t="shared" si="176"/>
        <v>33.100000000000001</v>
      </c>
      <c r="M30" s="134">
        <f t="shared" si="177"/>
        <v>33.100000000000001</v>
      </c>
      <c r="N30" s="135">
        <f t="shared" si="178"/>
        <v>33.100000000000001</v>
      </c>
    </row>
    <row r="31" ht="14.25">
      <c r="B31" s="71" t="s">
        <v>63</v>
      </c>
      <c r="C31" s="134">
        <f t="shared" si="167"/>
        <v>33.100000000000001</v>
      </c>
      <c r="D31" s="134">
        <f t="shared" si="168"/>
        <v>33.100000000000001</v>
      </c>
      <c r="E31" s="134">
        <f t="shared" si="169"/>
        <v>33.100000000000001</v>
      </c>
      <c r="F31" s="134">
        <f t="shared" si="170"/>
        <v>33.100000000000001</v>
      </c>
      <c r="G31" s="134">
        <f t="shared" si="171"/>
        <v>33.100000000000001</v>
      </c>
      <c r="H31" s="134">
        <f t="shared" si="172"/>
        <v>33.100000000000001</v>
      </c>
      <c r="I31" s="134">
        <f t="shared" si="173"/>
        <v>33.100000000000001</v>
      </c>
      <c r="J31" s="134">
        <f t="shared" si="174"/>
        <v>33.100000000000001</v>
      </c>
      <c r="K31" s="134">
        <f t="shared" si="175"/>
        <v>33.100000000000001</v>
      </c>
      <c r="L31" s="134">
        <f t="shared" si="176"/>
        <v>33.100000000000001</v>
      </c>
      <c r="M31" s="134">
        <f t="shared" si="177"/>
        <v>33.100000000000001</v>
      </c>
      <c r="N31" s="135">
        <f t="shared" si="178"/>
        <v>33.100000000000001</v>
      </c>
    </row>
    <row r="32" ht="14.25">
      <c r="B32" s="71" t="s">
        <v>64</v>
      </c>
      <c r="C32" s="134">
        <f t="shared" si="167"/>
        <v>33.100000000000001</v>
      </c>
      <c r="D32" s="134">
        <f t="shared" si="168"/>
        <v>33.100000000000001</v>
      </c>
      <c r="E32" s="134">
        <f t="shared" si="169"/>
        <v>33.100000000000001</v>
      </c>
      <c r="F32" s="134">
        <f t="shared" si="170"/>
        <v>33.100000000000001</v>
      </c>
      <c r="G32" s="134">
        <f t="shared" si="171"/>
        <v>33.100000000000001</v>
      </c>
      <c r="H32" s="134">
        <f t="shared" si="172"/>
        <v>33.100000000000001</v>
      </c>
      <c r="I32" s="134">
        <f t="shared" si="173"/>
        <v>33.100000000000001</v>
      </c>
      <c r="J32" s="134">
        <f t="shared" si="174"/>
        <v>33.100000000000001</v>
      </c>
      <c r="K32" s="134">
        <f t="shared" si="175"/>
        <v>33.100000000000001</v>
      </c>
      <c r="L32" s="134">
        <f t="shared" si="176"/>
        <v>33.100000000000001</v>
      </c>
      <c r="M32" s="134">
        <f t="shared" si="177"/>
        <v>33.100000000000001</v>
      </c>
      <c r="N32" s="135">
        <f t="shared" si="178"/>
        <v>33.100000000000001</v>
      </c>
    </row>
    <row r="33" ht="14.25">
      <c r="B33" s="71" t="s">
        <v>65</v>
      </c>
      <c r="C33" s="134">
        <f t="shared" si="167"/>
        <v>33.100000000000001</v>
      </c>
      <c r="D33" s="134">
        <f t="shared" si="168"/>
        <v>33.100000000000001</v>
      </c>
      <c r="E33" s="134">
        <f t="shared" si="169"/>
        <v>33.100000000000001</v>
      </c>
      <c r="F33" s="134">
        <f t="shared" si="170"/>
        <v>33.100000000000001</v>
      </c>
      <c r="G33" s="134">
        <f t="shared" si="171"/>
        <v>33.100000000000001</v>
      </c>
      <c r="H33" s="134">
        <f t="shared" si="172"/>
        <v>33.100000000000001</v>
      </c>
      <c r="I33" s="134">
        <f t="shared" si="173"/>
        <v>33.100000000000001</v>
      </c>
      <c r="J33" s="134">
        <f t="shared" si="174"/>
        <v>33.100000000000001</v>
      </c>
      <c r="K33" s="134">
        <f t="shared" si="175"/>
        <v>33.100000000000001</v>
      </c>
      <c r="L33" s="134">
        <f t="shared" si="176"/>
        <v>33.100000000000001</v>
      </c>
      <c r="M33" s="134">
        <f t="shared" si="177"/>
        <v>33.100000000000001</v>
      </c>
      <c r="N33" s="135">
        <f t="shared" si="178"/>
        <v>33.100000000000001</v>
      </c>
    </row>
    <row r="34" ht="14.25">
      <c r="B34" s="71" t="s">
        <v>66</v>
      </c>
      <c r="C34" s="134">
        <f t="shared" si="167"/>
        <v>33.100000000000001</v>
      </c>
      <c r="D34" s="134">
        <f t="shared" si="168"/>
        <v>33.100000000000001</v>
      </c>
      <c r="E34" s="134">
        <f t="shared" si="169"/>
        <v>33.100000000000001</v>
      </c>
      <c r="F34" s="134">
        <f t="shared" si="170"/>
        <v>33.100000000000001</v>
      </c>
      <c r="G34" s="134">
        <f t="shared" si="171"/>
        <v>33.100000000000001</v>
      </c>
      <c r="H34" s="134">
        <f t="shared" si="172"/>
        <v>33.100000000000001</v>
      </c>
      <c r="I34" s="134">
        <f t="shared" si="173"/>
        <v>33.100000000000001</v>
      </c>
      <c r="J34" s="134">
        <f t="shared" si="174"/>
        <v>33.100000000000001</v>
      </c>
      <c r="K34" s="134">
        <f t="shared" si="175"/>
        <v>33.100000000000001</v>
      </c>
      <c r="L34" s="134">
        <f t="shared" si="176"/>
        <v>33.100000000000001</v>
      </c>
      <c r="M34" s="134">
        <f t="shared" si="177"/>
        <v>33.100000000000001</v>
      </c>
      <c r="N34" s="135">
        <f t="shared" si="178"/>
        <v>33.100000000000001</v>
      </c>
    </row>
    <row r="35" ht="14.25">
      <c r="B35" s="71" t="s">
        <v>67</v>
      </c>
      <c r="C35" s="134">
        <f t="shared" si="167"/>
        <v>33.100000000000001</v>
      </c>
      <c r="D35" s="134">
        <f t="shared" si="168"/>
        <v>33.100000000000001</v>
      </c>
      <c r="E35" s="134">
        <f t="shared" si="169"/>
        <v>33.100000000000001</v>
      </c>
      <c r="F35" s="134">
        <f t="shared" si="170"/>
        <v>33.100000000000001</v>
      </c>
      <c r="G35" s="134">
        <f t="shared" si="171"/>
        <v>33.100000000000001</v>
      </c>
      <c r="H35" s="134">
        <f t="shared" si="172"/>
        <v>33.100000000000001</v>
      </c>
      <c r="I35" s="134">
        <f t="shared" si="173"/>
        <v>33.100000000000001</v>
      </c>
      <c r="J35" s="134">
        <f t="shared" si="174"/>
        <v>33.100000000000001</v>
      </c>
      <c r="K35" s="134">
        <f t="shared" si="175"/>
        <v>33.100000000000001</v>
      </c>
      <c r="L35" s="134">
        <f t="shared" si="176"/>
        <v>33.100000000000001</v>
      </c>
      <c r="M35" s="134">
        <f t="shared" si="177"/>
        <v>33.100000000000001</v>
      </c>
      <c r="N35" s="135">
        <f t="shared" si="178"/>
        <v>33.100000000000001</v>
      </c>
    </row>
    <row r="36" ht="14.25">
      <c r="B36" s="71" t="s">
        <v>68</v>
      </c>
      <c r="C36" s="134">
        <f t="shared" si="167"/>
        <v>33.100000000000001</v>
      </c>
      <c r="D36" s="134">
        <f t="shared" si="168"/>
        <v>33.100000000000001</v>
      </c>
      <c r="E36" s="134">
        <f t="shared" si="169"/>
        <v>33.100000000000001</v>
      </c>
      <c r="F36" s="134">
        <f t="shared" si="170"/>
        <v>33.100000000000001</v>
      </c>
      <c r="G36" s="134">
        <f t="shared" si="171"/>
        <v>33.100000000000001</v>
      </c>
      <c r="H36" s="134">
        <f t="shared" si="172"/>
        <v>33.100000000000001</v>
      </c>
      <c r="I36" s="134">
        <f t="shared" si="173"/>
        <v>33.100000000000001</v>
      </c>
      <c r="J36" s="134">
        <f t="shared" si="174"/>
        <v>33.100000000000001</v>
      </c>
      <c r="K36" s="134">
        <f t="shared" si="175"/>
        <v>33.100000000000001</v>
      </c>
      <c r="L36" s="134">
        <f t="shared" si="176"/>
        <v>33.100000000000001</v>
      </c>
      <c r="M36" s="134">
        <f t="shared" si="177"/>
        <v>33.100000000000001</v>
      </c>
      <c r="N36" s="135">
        <f t="shared" si="178"/>
        <v>33.100000000000001</v>
      </c>
    </row>
    <row r="37" ht="14.25">
      <c r="B37" s="71" t="s">
        <v>69</v>
      </c>
      <c r="C37" s="134">
        <f t="shared" si="167"/>
        <v>33.100000000000001</v>
      </c>
      <c r="D37" s="134">
        <f t="shared" si="168"/>
        <v>33.100000000000001</v>
      </c>
      <c r="E37" s="134">
        <f t="shared" si="169"/>
        <v>33.100000000000001</v>
      </c>
      <c r="F37" s="134">
        <f t="shared" si="170"/>
        <v>33.100000000000001</v>
      </c>
      <c r="G37" s="134">
        <f t="shared" si="171"/>
        <v>33.100000000000001</v>
      </c>
      <c r="H37" s="134">
        <f t="shared" si="172"/>
        <v>33.100000000000001</v>
      </c>
      <c r="I37" s="134">
        <f t="shared" si="173"/>
        <v>33.100000000000001</v>
      </c>
      <c r="J37" s="134">
        <f t="shared" si="174"/>
        <v>33.100000000000001</v>
      </c>
      <c r="K37" s="134">
        <f t="shared" si="175"/>
        <v>33.100000000000001</v>
      </c>
      <c r="L37" s="134">
        <f t="shared" si="176"/>
        <v>33.100000000000001</v>
      </c>
      <c r="M37" s="134">
        <f t="shared" si="177"/>
        <v>33.100000000000001</v>
      </c>
      <c r="N37" s="135">
        <f t="shared" si="178"/>
        <v>33.100000000000001</v>
      </c>
    </row>
    <row r="38" ht="14.25">
      <c r="B38" s="71" t="s">
        <v>70</v>
      </c>
      <c r="C38" s="134">
        <f t="shared" si="167"/>
        <v>33.100000000000001</v>
      </c>
      <c r="D38" s="134">
        <f t="shared" si="168"/>
        <v>33.100000000000001</v>
      </c>
      <c r="E38" s="134">
        <f t="shared" si="169"/>
        <v>33.100000000000001</v>
      </c>
      <c r="F38" s="134">
        <f t="shared" si="170"/>
        <v>33.100000000000001</v>
      </c>
      <c r="G38" s="134">
        <f t="shared" si="171"/>
        <v>33.100000000000001</v>
      </c>
      <c r="H38" s="134">
        <f t="shared" si="172"/>
        <v>33.100000000000001</v>
      </c>
      <c r="I38" s="134">
        <f t="shared" si="173"/>
        <v>33.100000000000001</v>
      </c>
      <c r="J38" s="134">
        <f t="shared" si="174"/>
        <v>33.100000000000001</v>
      </c>
      <c r="K38" s="134">
        <f t="shared" si="175"/>
        <v>33.100000000000001</v>
      </c>
      <c r="L38" s="134">
        <f t="shared" si="176"/>
        <v>33.100000000000001</v>
      </c>
      <c r="M38" s="134">
        <f t="shared" si="177"/>
        <v>33.100000000000001</v>
      </c>
      <c r="N38" s="135">
        <f t="shared" si="178"/>
        <v>33.100000000000001</v>
      </c>
    </row>
    <row r="39" ht="14.25">
      <c r="B39" s="71" t="s">
        <v>71</v>
      </c>
      <c r="C39" s="134">
        <f t="shared" si="167"/>
        <v>33.100000000000001</v>
      </c>
      <c r="D39" s="134">
        <f t="shared" si="168"/>
        <v>33.100000000000001</v>
      </c>
      <c r="E39" s="134">
        <f t="shared" si="169"/>
        <v>33.100000000000001</v>
      </c>
      <c r="F39" s="134">
        <f t="shared" si="170"/>
        <v>33.100000000000001</v>
      </c>
      <c r="G39" s="134">
        <f t="shared" si="171"/>
        <v>33.100000000000001</v>
      </c>
      <c r="H39" s="134">
        <f t="shared" si="172"/>
        <v>33.100000000000001</v>
      </c>
      <c r="I39" s="134">
        <f t="shared" si="173"/>
        <v>33.100000000000001</v>
      </c>
      <c r="J39" s="134">
        <f t="shared" si="174"/>
        <v>33.100000000000001</v>
      </c>
      <c r="K39" s="134">
        <f t="shared" si="175"/>
        <v>33.100000000000001</v>
      </c>
      <c r="L39" s="134">
        <f t="shared" si="176"/>
        <v>33.100000000000001</v>
      </c>
      <c r="M39" s="134">
        <f t="shared" si="177"/>
        <v>33.100000000000001</v>
      </c>
      <c r="N39" s="135">
        <f t="shared" si="178"/>
        <v>33.100000000000001</v>
      </c>
    </row>
    <row r="40" ht="14.25">
      <c r="B40" s="71" t="s">
        <v>72</v>
      </c>
      <c r="C40" s="134">
        <f t="shared" si="167"/>
        <v>33.100000000000001</v>
      </c>
      <c r="D40" s="134">
        <f t="shared" si="168"/>
        <v>33.100000000000001</v>
      </c>
      <c r="E40" s="134">
        <f t="shared" si="169"/>
        <v>33.100000000000001</v>
      </c>
      <c r="F40" s="134">
        <f t="shared" si="170"/>
        <v>33.100000000000001</v>
      </c>
      <c r="G40" s="134">
        <f t="shared" si="171"/>
        <v>33.100000000000001</v>
      </c>
      <c r="H40" s="134">
        <f t="shared" si="172"/>
        <v>33.100000000000001</v>
      </c>
      <c r="I40" s="134">
        <f t="shared" si="173"/>
        <v>33.100000000000001</v>
      </c>
      <c r="J40" s="134">
        <f t="shared" si="174"/>
        <v>33.100000000000001</v>
      </c>
      <c r="K40" s="134">
        <f t="shared" si="175"/>
        <v>33.100000000000001</v>
      </c>
      <c r="L40" s="134">
        <f t="shared" si="176"/>
        <v>33.100000000000001</v>
      </c>
      <c r="M40" s="134">
        <f t="shared" si="177"/>
        <v>33.100000000000001</v>
      </c>
      <c r="N40" s="135">
        <f t="shared" si="178"/>
        <v>33.100000000000001</v>
      </c>
    </row>
    <row r="41" ht="14.25">
      <c r="B41" s="71" t="s">
        <v>73</v>
      </c>
      <c r="C41" s="134">
        <f t="shared" si="167"/>
        <v>33.100000000000001</v>
      </c>
      <c r="D41" s="134">
        <f t="shared" si="168"/>
        <v>33.100000000000001</v>
      </c>
      <c r="E41" s="134">
        <f t="shared" si="169"/>
        <v>33.100000000000001</v>
      </c>
      <c r="F41" s="134">
        <f t="shared" si="170"/>
        <v>33.100000000000001</v>
      </c>
      <c r="G41" s="134">
        <f t="shared" si="171"/>
        <v>33.100000000000001</v>
      </c>
      <c r="H41" s="134">
        <f t="shared" si="172"/>
        <v>33.100000000000001</v>
      </c>
      <c r="I41" s="134">
        <f t="shared" si="173"/>
        <v>33.100000000000001</v>
      </c>
      <c r="J41" s="134">
        <f t="shared" si="174"/>
        <v>33.100000000000001</v>
      </c>
      <c r="K41" s="134">
        <f t="shared" si="175"/>
        <v>33.100000000000001</v>
      </c>
      <c r="L41" s="134">
        <f t="shared" si="176"/>
        <v>33.100000000000001</v>
      </c>
      <c r="M41" s="134">
        <f t="shared" si="177"/>
        <v>33.100000000000001</v>
      </c>
      <c r="N41" s="135">
        <f t="shared" si="178"/>
        <v>33.100000000000001</v>
      </c>
    </row>
    <row r="42" ht="14.25">
      <c r="B42" s="71" t="s">
        <v>74</v>
      </c>
      <c r="C42" s="134">
        <f t="shared" si="167"/>
        <v>33.100000000000001</v>
      </c>
      <c r="D42" s="134">
        <f t="shared" si="168"/>
        <v>33.100000000000001</v>
      </c>
      <c r="E42" s="134">
        <f t="shared" si="169"/>
        <v>33.100000000000001</v>
      </c>
      <c r="F42" s="134">
        <f t="shared" si="170"/>
        <v>33.100000000000001</v>
      </c>
      <c r="G42" s="134">
        <f t="shared" si="171"/>
        <v>33.100000000000001</v>
      </c>
      <c r="H42" s="134">
        <f t="shared" si="172"/>
        <v>33.100000000000001</v>
      </c>
      <c r="I42" s="134">
        <f t="shared" si="173"/>
        <v>33.100000000000001</v>
      </c>
      <c r="J42" s="134">
        <f t="shared" si="174"/>
        <v>33.100000000000001</v>
      </c>
      <c r="K42" s="134">
        <f t="shared" si="175"/>
        <v>33.100000000000001</v>
      </c>
      <c r="L42" s="134">
        <f t="shared" si="176"/>
        <v>33.100000000000001</v>
      </c>
      <c r="M42" s="134">
        <f t="shared" si="177"/>
        <v>33.100000000000001</v>
      </c>
      <c r="N42" s="135">
        <f t="shared" si="178"/>
        <v>33.100000000000001</v>
      </c>
    </row>
    <row r="43" ht="14.25">
      <c r="B43" s="71" t="s">
        <v>75</v>
      </c>
      <c r="C43" s="134">
        <f t="shared" si="167"/>
        <v>33.100000000000001</v>
      </c>
      <c r="D43" s="134">
        <f t="shared" si="168"/>
        <v>33.100000000000001</v>
      </c>
      <c r="E43" s="134">
        <f t="shared" si="169"/>
        <v>33.100000000000001</v>
      </c>
      <c r="F43" s="134">
        <f t="shared" si="170"/>
        <v>33.100000000000001</v>
      </c>
      <c r="G43" s="134">
        <f t="shared" si="171"/>
        <v>33.100000000000001</v>
      </c>
      <c r="H43" s="134">
        <f t="shared" si="172"/>
        <v>33.100000000000001</v>
      </c>
      <c r="I43" s="134">
        <f t="shared" si="173"/>
        <v>33.100000000000001</v>
      </c>
      <c r="J43" s="134">
        <f t="shared" si="174"/>
        <v>33.100000000000001</v>
      </c>
      <c r="K43" s="134">
        <f t="shared" si="175"/>
        <v>33.100000000000001</v>
      </c>
      <c r="L43" s="134">
        <f t="shared" si="176"/>
        <v>33.100000000000001</v>
      </c>
      <c r="M43" s="134">
        <f t="shared" si="177"/>
        <v>33.100000000000001</v>
      </c>
      <c r="N43" s="135">
        <f t="shared" si="178"/>
        <v>33.100000000000001</v>
      </c>
    </row>
    <row r="44" ht="14.25">
      <c r="B44" s="71" t="s">
        <v>76</v>
      </c>
      <c r="C44" s="134">
        <f t="shared" si="167"/>
        <v>33.100000000000001</v>
      </c>
      <c r="D44" s="134">
        <f t="shared" si="168"/>
        <v>33.100000000000001</v>
      </c>
      <c r="E44" s="134">
        <f t="shared" si="169"/>
        <v>33.100000000000001</v>
      </c>
      <c r="F44" s="134">
        <f t="shared" si="170"/>
        <v>33.100000000000001</v>
      </c>
      <c r="G44" s="134">
        <f t="shared" si="171"/>
        <v>33.100000000000001</v>
      </c>
      <c r="H44" s="134">
        <f t="shared" si="172"/>
        <v>33.100000000000001</v>
      </c>
      <c r="I44" s="134">
        <f t="shared" si="173"/>
        <v>33.100000000000001</v>
      </c>
      <c r="J44" s="134">
        <f t="shared" si="174"/>
        <v>33.100000000000001</v>
      </c>
      <c r="K44" s="134">
        <f t="shared" si="175"/>
        <v>33.100000000000001</v>
      </c>
      <c r="L44" s="134">
        <f t="shared" si="176"/>
        <v>33.100000000000001</v>
      </c>
      <c r="M44" s="134">
        <f t="shared" si="177"/>
        <v>33.100000000000001</v>
      </c>
      <c r="N44" s="135">
        <f t="shared" si="178"/>
        <v>33.100000000000001</v>
      </c>
    </row>
    <row r="45" ht="14.25">
      <c r="B45" s="71" t="s">
        <v>77</v>
      </c>
      <c r="C45" s="134">
        <f t="shared" si="167"/>
        <v>33.100000000000001</v>
      </c>
      <c r="D45" s="134">
        <f t="shared" si="168"/>
        <v>33.100000000000001</v>
      </c>
      <c r="E45" s="134">
        <f t="shared" si="169"/>
        <v>33.100000000000001</v>
      </c>
      <c r="F45" s="134">
        <f t="shared" si="170"/>
        <v>33.100000000000001</v>
      </c>
      <c r="G45" s="134">
        <f t="shared" si="171"/>
        <v>33.100000000000001</v>
      </c>
      <c r="H45" s="134">
        <f t="shared" si="172"/>
        <v>33.100000000000001</v>
      </c>
      <c r="I45" s="134">
        <f t="shared" si="173"/>
        <v>33.100000000000001</v>
      </c>
      <c r="J45" s="134">
        <f t="shared" si="174"/>
        <v>33.100000000000001</v>
      </c>
      <c r="K45" s="134">
        <f t="shared" si="175"/>
        <v>33.100000000000001</v>
      </c>
      <c r="L45" s="134">
        <f t="shared" si="176"/>
        <v>33.100000000000001</v>
      </c>
      <c r="M45" s="134">
        <f t="shared" si="177"/>
        <v>33.100000000000001</v>
      </c>
      <c r="N45" s="135">
        <f t="shared" si="178"/>
        <v>33.100000000000001</v>
      </c>
    </row>
    <row r="46" ht="14.25">
      <c r="B46" s="71" t="s">
        <v>78</v>
      </c>
      <c r="C46" s="134">
        <f t="shared" si="167"/>
        <v>33.100000000000001</v>
      </c>
      <c r="D46" s="134">
        <f t="shared" si="168"/>
        <v>33.100000000000001</v>
      </c>
      <c r="E46" s="134">
        <f t="shared" si="169"/>
        <v>33.100000000000001</v>
      </c>
      <c r="F46" s="134">
        <f t="shared" si="170"/>
        <v>33.100000000000001</v>
      </c>
      <c r="G46" s="134">
        <f t="shared" si="171"/>
        <v>33.100000000000001</v>
      </c>
      <c r="H46" s="134">
        <f t="shared" si="172"/>
        <v>33.100000000000001</v>
      </c>
      <c r="I46" s="134">
        <f t="shared" si="173"/>
        <v>33.100000000000001</v>
      </c>
      <c r="J46" s="134">
        <f t="shared" si="174"/>
        <v>33.100000000000001</v>
      </c>
      <c r="K46" s="134">
        <f t="shared" si="175"/>
        <v>33.100000000000001</v>
      </c>
      <c r="L46" s="134">
        <f t="shared" si="176"/>
        <v>33.100000000000001</v>
      </c>
      <c r="M46" s="134">
        <f t="shared" si="177"/>
        <v>33.100000000000001</v>
      </c>
      <c r="N46" s="135">
        <f t="shared" si="178"/>
        <v>33.100000000000001</v>
      </c>
    </row>
    <row r="47" ht="14.25">
      <c r="B47" s="71" t="s">
        <v>79</v>
      </c>
      <c r="C47" s="134">
        <f t="shared" si="167"/>
        <v>33.100000000000001</v>
      </c>
      <c r="D47" s="134">
        <f t="shared" si="168"/>
        <v>33.100000000000001</v>
      </c>
      <c r="E47" s="134">
        <f t="shared" si="169"/>
        <v>33.100000000000001</v>
      </c>
      <c r="F47" s="134">
        <f t="shared" si="170"/>
        <v>33.100000000000001</v>
      </c>
      <c r="G47" s="134">
        <f t="shared" si="171"/>
        <v>33.100000000000001</v>
      </c>
      <c r="H47" s="134">
        <f t="shared" si="172"/>
        <v>33.100000000000001</v>
      </c>
      <c r="I47" s="134">
        <f t="shared" si="173"/>
        <v>33.100000000000001</v>
      </c>
      <c r="J47" s="134">
        <f t="shared" si="174"/>
        <v>33.100000000000001</v>
      </c>
      <c r="K47" s="134">
        <f t="shared" si="175"/>
        <v>33.100000000000001</v>
      </c>
      <c r="L47" s="134">
        <f t="shared" si="176"/>
        <v>33.100000000000001</v>
      </c>
      <c r="M47" s="134">
        <f t="shared" si="177"/>
        <v>33.100000000000001</v>
      </c>
      <c r="N47" s="135">
        <f t="shared" si="178"/>
        <v>33.100000000000001</v>
      </c>
    </row>
    <row r="48" ht="14.25">
      <c r="B48" s="82" t="s">
        <v>80</v>
      </c>
      <c r="C48" s="153">
        <f t="shared" si="167"/>
        <v>33.100000000000001</v>
      </c>
      <c r="D48" s="154">
        <f t="shared" si="168"/>
        <v>33.100000000000001</v>
      </c>
      <c r="E48" s="154">
        <f t="shared" si="169"/>
        <v>33.100000000000001</v>
      </c>
      <c r="F48" s="154">
        <f t="shared" si="170"/>
        <v>33.100000000000001</v>
      </c>
      <c r="G48" s="154">
        <f t="shared" si="171"/>
        <v>33.100000000000001</v>
      </c>
      <c r="H48" s="154">
        <f t="shared" si="172"/>
        <v>33.100000000000001</v>
      </c>
      <c r="I48" s="154">
        <f t="shared" si="173"/>
        <v>33.100000000000001</v>
      </c>
      <c r="J48" s="154">
        <f t="shared" si="174"/>
        <v>33.100000000000001</v>
      </c>
      <c r="K48" s="154">
        <f t="shared" si="175"/>
        <v>33.100000000000001</v>
      </c>
      <c r="L48" s="154">
        <f t="shared" si="176"/>
        <v>33.100000000000001</v>
      </c>
      <c r="M48" s="154">
        <f t="shared" si="177"/>
        <v>33.100000000000001</v>
      </c>
      <c r="N48" s="155">
        <f t="shared" si="178"/>
        <v>33.100000000000001</v>
      </c>
    </row>
    <row r="51" ht="14.25">
      <c r="B51" s="35"/>
      <c r="C51" s="127" t="s">
        <v>123</v>
      </c>
      <c r="D51" s="127"/>
      <c r="E51" s="127"/>
      <c r="F51" s="127"/>
      <c r="G51" s="127"/>
      <c r="H51" s="127"/>
      <c r="I51" s="127"/>
      <c r="J51" s="127"/>
      <c r="K51" s="127"/>
      <c r="L51" s="127"/>
      <c r="M51" s="127"/>
      <c r="N51" s="127"/>
    </row>
    <row r="52" ht="14.25">
      <c r="B52" s="69"/>
      <c r="C52" s="145" t="s">
        <v>45</v>
      </c>
      <c r="D52" s="55" t="s">
        <v>46</v>
      </c>
      <c r="E52" s="55" t="s">
        <v>47</v>
      </c>
      <c r="F52" s="55" t="s">
        <v>48</v>
      </c>
      <c r="G52" s="55" t="s">
        <v>49</v>
      </c>
      <c r="H52" s="55" t="s">
        <v>50</v>
      </c>
      <c r="I52" s="55" t="s">
        <v>51</v>
      </c>
      <c r="J52" s="55" t="s">
        <v>52</v>
      </c>
      <c r="K52" s="55" t="s">
        <v>53</v>
      </c>
      <c r="L52" s="55" t="s">
        <v>54</v>
      </c>
      <c r="M52" s="55" t="s">
        <v>55</v>
      </c>
      <c r="N52" s="70" t="s">
        <v>56</v>
      </c>
    </row>
    <row r="53" ht="14.25">
      <c r="B53" s="146" t="s">
        <v>57</v>
      </c>
      <c r="C53" s="134">
        <f t="shared" ref="C53:C76" si="179">$D$17*(1000/100)</f>
        <v>47.599999999999994</v>
      </c>
      <c r="D53" s="134">
        <f t="shared" ref="D53:D76" si="180">$D$17*(1000/100)</f>
        <v>47.599999999999994</v>
      </c>
      <c r="E53" s="134">
        <f t="shared" ref="E53:E76" si="181">$D$17*(1000/100)</f>
        <v>47.599999999999994</v>
      </c>
      <c r="F53" s="134">
        <f t="shared" ref="F53:F76" si="182">$D$17*(1000/100)</f>
        <v>47.599999999999994</v>
      </c>
      <c r="G53" s="134">
        <f t="shared" ref="G53:G76" si="183">$D$17*(1000/100)</f>
        <v>47.599999999999994</v>
      </c>
      <c r="H53" s="134">
        <f t="shared" ref="H53:H76" si="184">$D$17*(1000/100)</f>
        <v>47.599999999999994</v>
      </c>
      <c r="I53" s="134">
        <f t="shared" ref="I53:I76" si="185">$D$17*(1000/100)</f>
        <v>47.599999999999994</v>
      </c>
      <c r="J53" s="134">
        <f t="shared" ref="J53:J76" si="186">$D$17*(1000/100)</f>
        <v>47.599999999999994</v>
      </c>
      <c r="K53" s="134">
        <f t="shared" ref="K53:K76" si="187">$D$17*(1000/100)</f>
        <v>47.599999999999994</v>
      </c>
      <c r="L53" s="134">
        <f t="shared" ref="L53:L76" si="188">$D$17*(1000/100)</f>
        <v>47.599999999999994</v>
      </c>
      <c r="M53" s="134">
        <f t="shared" ref="M53:M76" si="189">$D$17*(1000/100)</f>
        <v>47.599999999999994</v>
      </c>
      <c r="N53" s="131">
        <f t="shared" ref="N53:N76" si="190">$D$17*(1000/100)</f>
        <v>47.599999999999994</v>
      </c>
    </row>
    <row r="54" ht="14.25">
      <c r="B54" s="71" t="s">
        <v>58</v>
      </c>
      <c r="C54" s="134">
        <f t="shared" si="179"/>
        <v>47.599999999999994</v>
      </c>
      <c r="D54" s="134">
        <f t="shared" si="180"/>
        <v>47.599999999999994</v>
      </c>
      <c r="E54" s="134">
        <f t="shared" si="181"/>
        <v>47.599999999999994</v>
      </c>
      <c r="F54" s="134">
        <f t="shared" si="182"/>
        <v>47.599999999999994</v>
      </c>
      <c r="G54" s="134">
        <f t="shared" si="183"/>
        <v>47.599999999999994</v>
      </c>
      <c r="H54" s="134">
        <f t="shared" si="184"/>
        <v>47.599999999999994</v>
      </c>
      <c r="I54" s="134">
        <f t="shared" si="185"/>
        <v>47.599999999999994</v>
      </c>
      <c r="J54" s="134">
        <f t="shared" si="186"/>
        <v>47.599999999999994</v>
      </c>
      <c r="K54" s="134">
        <f t="shared" si="187"/>
        <v>47.599999999999994</v>
      </c>
      <c r="L54" s="134">
        <f t="shared" si="188"/>
        <v>47.599999999999994</v>
      </c>
      <c r="M54" s="134">
        <f t="shared" si="189"/>
        <v>47.599999999999994</v>
      </c>
      <c r="N54" s="135">
        <f t="shared" si="190"/>
        <v>47.599999999999994</v>
      </c>
    </row>
    <row r="55" ht="14.25">
      <c r="B55" s="71" t="s">
        <v>59</v>
      </c>
      <c r="C55" s="134">
        <f t="shared" si="179"/>
        <v>47.599999999999994</v>
      </c>
      <c r="D55" s="134">
        <f t="shared" si="180"/>
        <v>47.599999999999994</v>
      </c>
      <c r="E55" s="134">
        <f t="shared" si="181"/>
        <v>47.599999999999994</v>
      </c>
      <c r="F55" s="134">
        <f t="shared" si="182"/>
        <v>47.599999999999994</v>
      </c>
      <c r="G55" s="134">
        <f t="shared" si="183"/>
        <v>47.599999999999994</v>
      </c>
      <c r="H55" s="134">
        <f t="shared" si="184"/>
        <v>47.599999999999994</v>
      </c>
      <c r="I55" s="134">
        <f t="shared" si="185"/>
        <v>47.599999999999994</v>
      </c>
      <c r="J55" s="134">
        <f t="shared" si="186"/>
        <v>47.599999999999994</v>
      </c>
      <c r="K55" s="134">
        <f t="shared" si="187"/>
        <v>47.599999999999994</v>
      </c>
      <c r="L55" s="134">
        <f t="shared" si="188"/>
        <v>47.599999999999994</v>
      </c>
      <c r="M55" s="134">
        <f t="shared" si="189"/>
        <v>47.599999999999994</v>
      </c>
      <c r="N55" s="135">
        <f t="shared" si="190"/>
        <v>47.599999999999994</v>
      </c>
    </row>
    <row r="56" ht="14.25">
      <c r="B56" s="71" t="s">
        <v>60</v>
      </c>
      <c r="C56" s="134">
        <f t="shared" si="179"/>
        <v>47.599999999999994</v>
      </c>
      <c r="D56" s="134">
        <f t="shared" si="180"/>
        <v>47.599999999999994</v>
      </c>
      <c r="E56" s="134">
        <f t="shared" si="181"/>
        <v>47.599999999999994</v>
      </c>
      <c r="F56" s="134">
        <f t="shared" si="182"/>
        <v>47.599999999999994</v>
      </c>
      <c r="G56" s="134">
        <f t="shared" si="183"/>
        <v>47.599999999999994</v>
      </c>
      <c r="H56" s="134">
        <f t="shared" si="184"/>
        <v>47.599999999999994</v>
      </c>
      <c r="I56" s="134">
        <f t="shared" si="185"/>
        <v>47.599999999999994</v>
      </c>
      <c r="J56" s="134">
        <f t="shared" si="186"/>
        <v>47.599999999999994</v>
      </c>
      <c r="K56" s="134">
        <f t="shared" si="187"/>
        <v>47.599999999999994</v>
      </c>
      <c r="L56" s="134">
        <f t="shared" si="188"/>
        <v>47.599999999999994</v>
      </c>
      <c r="M56" s="134">
        <f t="shared" si="189"/>
        <v>47.599999999999994</v>
      </c>
      <c r="N56" s="135">
        <f t="shared" si="190"/>
        <v>47.599999999999994</v>
      </c>
    </row>
    <row r="57" ht="14.25">
      <c r="B57" s="71" t="s">
        <v>61</v>
      </c>
      <c r="C57" s="134">
        <f t="shared" si="179"/>
        <v>47.599999999999994</v>
      </c>
      <c r="D57" s="134">
        <f t="shared" si="180"/>
        <v>47.599999999999994</v>
      </c>
      <c r="E57" s="134">
        <f t="shared" si="181"/>
        <v>47.599999999999994</v>
      </c>
      <c r="F57" s="134">
        <f t="shared" si="182"/>
        <v>47.599999999999994</v>
      </c>
      <c r="G57" s="134">
        <f t="shared" si="183"/>
        <v>47.599999999999994</v>
      </c>
      <c r="H57" s="134">
        <f t="shared" si="184"/>
        <v>47.599999999999994</v>
      </c>
      <c r="I57" s="134">
        <f t="shared" si="185"/>
        <v>47.599999999999994</v>
      </c>
      <c r="J57" s="134">
        <f t="shared" si="186"/>
        <v>47.599999999999994</v>
      </c>
      <c r="K57" s="134">
        <f t="shared" si="187"/>
        <v>47.599999999999994</v>
      </c>
      <c r="L57" s="134">
        <f t="shared" si="188"/>
        <v>47.599999999999994</v>
      </c>
      <c r="M57" s="134">
        <f t="shared" si="189"/>
        <v>47.599999999999994</v>
      </c>
      <c r="N57" s="135">
        <f t="shared" si="190"/>
        <v>47.599999999999994</v>
      </c>
    </row>
    <row r="58" ht="14.25">
      <c r="B58" s="71" t="s">
        <v>62</v>
      </c>
      <c r="C58" s="134">
        <f t="shared" si="179"/>
        <v>47.599999999999994</v>
      </c>
      <c r="D58" s="134">
        <f t="shared" si="180"/>
        <v>47.599999999999994</v>
      </c>
      <c r="E58" s="134">
        <f t="shared" si="181"/>
        <v>47.599999999999994</v>
      </c>
      <c r="F58" s="134">
        <f t="shared" si="182"/>
        <v>47.599999999999994</v>
      </c>
      <c r="G58" s="134">
        <f t="shared" si="183"/>
        <v>47.599999999999994</v>
      </c>
      <c r="H58" s="134">
        <f t="shared" si="184"/>
        <v>47.599999999999994</v>
      </c>
      <c r="I58" s="134">
        <f t="shared" si="185"/>
        <v>47.599999999999994</v>
      </c>
      <c r="J58" s="134">
        <f t="shared" si="186"/>
        <v>47.599999999999994</v>
      </c>
      <c r="K58" s="134">
        <f t="shared" si="187"/>
        <v>47.599999999999994</v>
      </c>
      <c r="L58" s="134">
        <f t="shared" si="188"/>
        <v>47.599999999999994</v>
      </c>
      <c r="M58" s="134">
        <f t="shared" si="189"/>
        <v>47.599999999999994</v>
      </c>
      <c r="N58" s="135">
        <f t="shared" si="190"/>
        <v>47.599999999999994</v>
      </c>
    </row>
    <row r="59" ht="14.25">
      <c r="B59" s="71" t="s">
        <v>63</v>
      </c>
      <c r="C59" s="134">
        <f t="shared" si="179"/>
        <v>47.599999999999994</v>
      </c>
      <c r="D59" s="134">
        <f t="shared" si="180"/>
        <v>47.599999999999994</v>
      </c>
      <c r="E59" s="134">
        <f t="shared" si="181"/>
        <v>47.599999999999994</v>
      </c>
      <c r="F59" s="134">
        <f t="shared" si="182"/>
        <v>47.599999999999994</v>
      </c>
      <c r="G59" s="134">
        <f t="shared" si="183"/>
        <v>47.599999999999994</v>
      </c>
      <c r="H59" s="134">
        <f t="shared" si="184"/>
        <v>47.599999999999994</v>
      </c>
      <c r="I59" s="134">
        <f t="shared" si="185"/>
        <v>47.599999999999994</v>
      </c>
      <c r="J59" s="134">
        <f t="shared" si="186"/>
        <v>47.599999999999994</v>
      </c>
      <c r="K59" s="134">
        <f t="shared" si="187"/>
        <v>47.599999999999994</v>
      </c>
      <c r="L59" s="134">
        <f t="shared" si="188"/>
        <v>47.599999999999994</v>
      </c>
      <c r="M59" s="134">
        <f t="shared" si="189"/>
        <v>47.599999999999994</v>
      </c>
      <c r="N59" s="135">
        <f t="shared" si="190"/>
        <v>47.599999999999994</v>
      </c>
    </row>
    <row r="60" ht="14.25">
      <c r="B60" s="71" t="s">
        <v>64</v>
      </c>
      <c r="C60" s="134">
        <f t="shared" si="179"/>
        <v>47.599999999999994</v>
      </c>
      <c r="D60" s="134">
        <f t="shared" si="180"/>
        <v>47.599999999999994</v>
      </c>
      <c r="E60" s="134">
        <f t="shared" si="181"/>
        <v>47.599999999999994</v>
      </c>
      <c r="F60" s="134">
        <f t="shared" si="182"/>
        <v>47.599999999999994</v>
      </c>
      <c r="G60" s="134">
        <f t="shared" si="183"/>
        <v>47.599999999999994</v>
      </c>
      <c r="H60" s="134">
        <f t="shared" si="184"/>
        <v>47.599999999999994</v>
      </c>
      <c r="I60" s="134">
        <f t="shared" si="185"/>
        <v>47.599999999999994</v>
      </c>
      <c r="J60" s="134">
        <f t="shared" si="186"/>
        <v>47.599999999999994</v>
      </c>
      <c r="K60" s="134">
        <f t="shared" si="187"/>
        <v>47.599999999999994</v>
      </c>
      <c r="L60" s="134">
        <f t="shared" si="188"/>
        <v>47.599999999999994</v>
      </c>
      <c r="M60" s="134">
        <f t="shared" si="189"/>
        <v>47.599999999999994</v>
      </c>
      <c r="N60" s="135">
        <f t="shared" si="190"/>
        <v>47.599999999999994</v>
      </c>
    </row>
    <row r="61" ht="14.25">
      <c r="B61" s="71" t="s">
        <v>65</v>
      </c>
      <c r="C61" s="134">
        <f t="shared" si="179"/>
        <v>47.599999999999994</v>
      </c>
      <c r="D61" s="134">
        <f t="shared" si="180"/>
        <v>47.599999999999994</v>
      </c>
      <c r="E61" s="134">
        <f t="shared" si="181"/>
        <v>47.599999999999994</v>
      </c>
      <c r="F61" s="134">
        <f t="shared" si="182"/>
        <v>47.599999999999994</v>
      </c>
      <c r="G61" s="134">
        <f t="shared" si="183"/>
        <v>47.599999999999994</v>
      </c>
      <c r="H61" s="134">
        <f t="shared" si="184"/>
        <v>47.599999999999994</v>
      </c>
      <c r="I61" s="134">
        <f t="shared" si="185"/>
        <v>47.599999999999994</v>
      </c>
      <c r="J61" s="134">
        <f t="shared" si="186"/>
        <v>47.599999999999994</v>
      </c>
      <c r="K61" s="134">
        <f t="shared" si="187"/>
        <v>47.599999999999994</v>
      </c>
      <c r="L61" s="134">
        <f t="shared" si="188"/>
        <v>47.599999999999994</v>
      </c>
      <c r="M61" s="134">
        <f t="shared" si="189"/>
        <v>47.599999999999994</v>
      </c>
      <c r="N61" s="135">
        <f t="shared" si="190"/>
        <v>47.599999999999994</v>
      </c>
    </row>
    <row r="62" ht="14.25">
      <c r="B62" s="71" t="s">
        <v>66</v>
      </c>
      <c r="C62" s="134">
        <f t="shared" si="179"/>
        <v>47.599999999999994</v>
      </c>
      <c r="D62" s="134">
        <f t="shared" si="180"/>
        <v>47.599999999999994</v>
      </c>
      <c r="E62" s="134">
        <f t="shared" si="181"/>
        <v>47.599999999999994</v>
      </c>
      <c r="F62" s="134">
        <f t="shared" si="182"/>
        <v>47.599999999999994</v>
      </c>
      <c r="G62" s="134">
        <f t="shared" si="183"/>
        <v>47.599999999999994</v>
      </c>
      <c r="H62" s="134">
        <f t="shared" si="184"/>
        <v>47.599999999999994</v>
      </c>
      <c r="I62" s="134">
        <f t="shared" si="185"/>
        <v>47.599999999999994</v>
      </c>
      <c r="J62" s="134">
        <f t="shared" si="186"/>
        <v>47.599999999999994</v>
      </c>
      <c r="K62" s="134">
        <f t="shared" si="187"/>
        <v>47.599999999999994</v>
      </c>
      <c r="L62" s="134">
        <f t="shared" si="188"/>
        <v>47.599999999999994</v>
      </c>
      <c r="M62" s="134">
        <f t="shared" si="189"/>
        <v>47.599999999999994</v>
      </c>
      <c r="N62" s="135">
        <f t="shared" si="190"/>
        <v>47.599999999999994</v>
      </c>
    </row>
    <row r="63" ht="14.25">
      <c r="B63" s="71" t="s">
        <v>67</v>
      </c>
      <c r="C63" s="134">
        <f t="shared" si="179"/>
        <v>47.599999999999994</v>
      </c>
      <c r="D63" s="134">
        <f t="shared" si="180"/>
        <v>47.599999999999994</v>
      </c>
      <c r="E63" s="134">
        <f t="shared" si="181"/>
        <v>47.599999999999994</v>
      </c>
      <c r="F63" s="134">
        <f t="shared" si="182"/>
        <v>47.599999999999994</v>
      </c>
      <c r="G63" s="134">
        <f t="shared" si="183"/>
        <v>47.599999999999994</v>
      </c>
      <c r="H63" s="134">
        <f t="shared" si="184"/>
        <v>47.599999999999994</v>
      </c>
      <c r="I63" s="134">
        <f t="shared" si="185"/>
        <v>47.599999999999994</v>
      </c>
      <c r="J63" s="134">
        <f t="shared" si="186"/>
        <v>47.599999999999994</v>
      </c>
      <c r="K63" s="134">
        <f t="shared" si="187"/>
        <v>47.599999999999994</v>
      </c>
      <c r="L63" s="134">
        <f t="shared" si="188"/>
        <v>47.599999999999994</v>
      </c>
      <c r="M63" s="134">
        <f t="shared" si="189"/>
        <v>47.599999999999994</v>
      </c>
      <c r="N63" s="135">
        <f t="shared" si="190"/>
        <v>47.599999999999994</v>
      </c>
    </row>
    <row r="64" ht="14.25">
      <c r="B64" s="71" t="s">
        <v>68</v>
      </c>
      <c r="C64" s="134">
        <f t="shared" si="179"/>
        <v>47.599999999999994</v>
      </c>
      <c r="D64" s="134">
        <f t="shared" si="180"/>
        <v>47.599999999999994</v>
      </c>
      <c r="E64" s="134">
        <f t="shared" si="181"/>
        <v>47.599999999999994</v>
      </c>
      <c r="F64" s="134">
        <f t="shared" si="182"/>
        <v>47.599999999999994</v>
      </c>
      <c r="G64" s="134">
        <f t="shared" si="183"/>
        <v>47.599999999999994</v>
      </c>
      <c r="H64" s="134">
        <f t="shared" si="184"/>
        <v>47.599999999999994</v>
      </c>
      <c r="I64" s="134">
        <f t="shared" si="185"/>
        <v>47.599999999999994</v>
      </c>
      <c r="J64" s="134">
        <f t="shared" si="186"/>
        <v>47.599999999999994</v>
      </c>
      <c r="K64" s="134">
        <f t="shared" si="187"/>
        <v>47.599999999999994</v>
      </c>
      <c r="L64" s="134">
        <f t="shared" si="188"/>
        <v>47.599999999999994</v>
      </c>
      <c r="M64" s="134">
        <f t="shared" si="189"/>
        <v>47.599999999999994</v>
      </c>
      <c r="N64" s="135">
        <f t="shared" si="190"/>
        <v>47.599999999999994</v>
      </c>
    </row>
    <row r="65" ht="14.25">
      <c r="B65" s="71" t="s">
        <v>69</v>
      </c>
      <c r="C65" s="134">
        <f t="shared" si="179"/>
        <v>47.599999999999994</v>
      </c>
      <c r="D65" s="134">
        <f t="shared" si="180"/>
        <v>47.599999999999994</v>
      </c>
      <c r="E65" s="134">
        <f t="shared" si="181"/>
        <v>47.599999999999994</v>
      </c>
      <c r="F65" s="134">
        <f t="shared" si="182"/>
        <v>47.599999999999994</v>
      </c>
      <c r="G65" s="134">
        <f t="shared" si="183"/>
        <v>47.599999999999994</v>
      </c>
      <c r="H65" s="134">
        <f t="shared" si="184"/>
        <v>47.599999999999994</v>
      </c>
      <c r="I65" s="134">
        <f t="shared" si="185"/>
        <v>47.599999999999994</v>
      </c>
      <c r="J65" s="134">
        <f t="shared" si="186"/>
        <v>47.599999999999994</v>
      </c>
      <c r="K65" s="134">
        <f t="shared" si="187"/>
        <v>47.599999999999994</v>
      </c>
      <c r="L65" s="134">
        <f t="shared" si="188"/>
        <v>47.599999999999994</v>
      </c>
      <c r="M65" s="134">
        <f t="shared" si="189"/>
        <v>47.599999999999994</v>
      </c>
      <c r="N65" s="135">
        <f t="shared" si="190"/>
        <v>47.599999999999994</v>
      </c>
    </row>
    <row r="66" ht="14.25">
      <c r="B66" s="71" t="s">
        <v>70</v>
      </c>
      <c r="C66" s="134">
        <f t="shared" si="179"/>
        <v>47.599999999999994</v>
      </c>
      <c r="D66" s="134">
        <f t="shared" si="180"/>
        <v>47.599999999999994</v>
      </c>
      <c r="E66" s="134">
        <f t="shared" si="181"/>
        <v>47.599999999999994</v>
      </c>
      <c r="F66" s="134">
        <f t="shared" si="182"/>
        <v>47.599999999999994</v>
      </c>
      <c r="G66" s="134">
        <f t="shared" si="183"/>
        <v>47.599999999999994</v>
      </c>
      <c r="H66" s="134">
        <f t="shared" si="184"/>
        <v>47.599999999999994</v>
      </c>
      <c r="I66" s="134">
        <f t="shared" si="185"/>
        <v>47.599999999999994</v>
      </c>
      <c r="J66" s="134">
        <f t="shared" si="186"/>
        <v>47.599999999999994</v>
      </c>
      <c r="K66" s="134">
        <f t="shared" si="187"/>
        <v>47.599999999999994</v>
      </c>
      <c r="L66" s="134">
        <f t="shared" si="188"/>
        <v>47.599999999999994</v>
      </c>
      <c r="M66" s="134">
        <f t="shared" si="189"/>
        <v>47.599999999999994</v>
      </c>
      <c r="N66" s="135">
        <f t="shared" si="190"/>
        <v>47.599999999999994</v>
      </c>
    </row>
    <row r="67" ht="14.25">
      <c r="B67" s="71" t="s">
        <v>71</v>
      </c>
      <c r="C67" s="134">
        <f t="shared" si="179"/>
        <v>47.599999999999994</v>
      </c>
      <c r="D67" s="134">
        <f t="shared" si="180"/>
        <v>47.599999999999994</v>
      </c>
      <c r="E67" s="134">
        <f t="shared" si="181"/>
        <v>47.599999999999994</v>
      </c>
      <c r="F67" s="134">
        <f t="shared" si="182"/>
        <v>47.599999999999994</v>
      </c>
      <c r="G67" s="134">
        <f t="shared" si="183"/>
        <v>47.599999999999994</v>
      </c>
      <c r="H67" s="134">
        <f t="shared" si="184"/>
        <v>47.599999999999994</v>
      </c>
      <c r="I67" s="134">
        <f t="shared" si="185"/>
        <v>47.599999999999994</v>
      </c>
      <c r="J67" s="134">
        <f t="shared" si="186"/>
        <v>47.599999999999994</v>
      </c>
      <c r="K67" s="134">
        <f t="shared" si="187"/>
        <v>47.599999999999994</v>
      </c>
      <c r="L67" s="134">
        <f t="shared" si="188"/>
        <v>47.599999999999994</v>
      </c>
      <c r="M67" s="134">
        <f t="shared" si="189"/>
        <v>47.599999999999994</v>
      </c>
      <c r="N67" s="135">
        <f t="shared" si="190"/>
        <v>47.599999999999994</v>
      </c>
    </row>
    <row r="68" ht="14.25">
      <c r="B68" s="71" t="s">
        <v>72</v>
      </c>
      <c r="C68" s="134">
        <f t="shared" si="179"/>
        <v>47.599999999999994</v>
      </c>
      <c r="D68" s="134">
        <f t="shared" si="180"/>
        <v>47.599999999999994</v>
      </c>
      <c r="E68" s="134">
        <f t="shared" si="181"/>
        <v>47.599999999999994</v>
      </c>
      <c r="F68" s="134">
        <f t="shared" si="182"/>
        <v>47.599999999999994</v>
      </c>
      <c r="G68" s="134">
        <f t="shared" si="183"/>
        <v>47.599999999999994</v>
      </c>
      <c r="H68" s="134">
        <f t="shared" si="184"/>
        <v>47.599999999999994</v>
      </c>
      <c r="I68" s="134">
        <f t="shared" si="185"/>
        <v>47.599999999999994</v>
      </c>
      <c r="J68" s="134">
        <f t="shared" si="186"/>
        <v>47.599999999999994</v>
      </c>
      <c r="K68" s="134">
        <f t="shared" si="187"/>
        <v>47.599999999999994</v>
      </c>
      <c r="L68" s="134">
        <f t="shared" si="188"/>
        <v>47.599999999999994</v>
      </c>
      <c r="M68" s="134">
        <f t="shared" si="189"/>
        <v>47.599999999999994</v>
      </c>
      <c r="N68" s="135">
        <f t="shared" si="190"/>
        <v>47.599999999999994</v>
      </c>
    </row>
    <row r="69" ht="14.25">
      <c r="B69" s="71" t="s">
        <v>73</v>
      </c>
      <c r="C69" s="134">
        <f t="shared" si="179"/>
        <v>47.599999999999994</v>
      </c>
      <c r="D69" s="134">
        <f t="shared" si="180"/>
        <v>47.599999999999994</v>
      </c>
      <c r="E69" s="134">
        <f t="shared" si="181"/>
        <v>47.599999999999994</v>
      </c>
      <c r="F69" s="134">
        <f t="shared" si="182"/>
        <v>47.599999999999994</v>
      </c>
      <c r="G69" s="134">
        <f t="shared" si="183"/>
        <v>47.599999999999994</v>
      </c>
      <c r="H69" s="134">
        <f t="shared" si="184"/>
        <v>47.599999999999994</v>
      </c>
      <c r="I69" s="134">
        <f t="shared" si="185"/>
        <v>47.599999999999994</v>
      </c>
      <c r="J69" s="134">
        <f t="shared" si="186"/>
        <v>47.599999999999994</v>
      </c>
      <c r="K69" s="134">
        <f t="shared" si="187"/>
        <v>47.599999999999994</v>
      </c>
      <c r="L69" s="134">
        <f t="shared" si="188"/>
        <v>47.599999999999994</v>
      </c>
      <c r="M69" s="134">
        <f t="shared" si="189"/>
        <v>47.599999999999994</v>
      </c>
      <c r="N69" s="135">
        <f t="shared" si="190"/>
        <v>47.599999999999994</v>
      </c>
    </row>
    <row r="70" ht="14.25">
      <c r="B70" s="71" t="s">
        <v>74</v>
      </c>
      <c r="C70" s="134">
        <f t="shared" si="179"/>
        <v>47.599999999999994</v>
      </c>
      <c r="D70" s="134">
        <f t="shared" si="180"/>
        <v>47.599999999999994</v>
      </c>
      <c r="E70" s="134">
        <f t="shared" si="181"/>
        <v>47.599999999999994</v>
      </c>
      <c r="F70" s="134">
        <f t="shared" si="182"/>
        <v>47.599999999999994</v>
      </c>
      <c r="G70" s="134">
        <f t="shared" si="183"/>
        <v>47.599999999999994</v>
      </c>
      <c r="H70" s="134">
        <f t="shared" si="184"/>
        <v>47.599999999999994</v>
      </c>
      <c r="I70" s="134">
        <f t="shared" si="185"/>
        <v>47.599999999999994</v>
      </c>
      <c r="J70" s="134">
        <f t="shared" si="186"/>
        <v>47.599999999999994</v>
      </c>
      <c r="K70" s="134">
        <f t="shared" si="187"/>
        <v>47.599999999999994</v>
      </c>
      <c r="L70" s="134">
        <f t="shared" si="188"/>
        <v>47.599999999999994</v>
      </c>
      <c r="M70" s="134">
        <f t="shared" si="189"/>
        <v>47.599999999999994</v>
      </c>
      <c r="N70" s="135">
        <f t="shared" si="190"/>
        <v>47.599999999999994</v>
      </c>
    </row>
    <row r="71" ht="14.25">
      <c r="B71" s="71" t="s">
        <v>75</v>
      </c>
      <c r="C71" s="134">
        <f t="shared" si="179"/>
        <v>47.599999999999994</v>
      </c>
      <c r="D71" s="134">
        <f t="shared" si="180"/>
        <v>47.599999999999994</v>
      </c>
      <c r="E71" s="134">
        <f t="shared" si="181"/>
        <v>47.599999999999994</v>
      </c>
      <c r="F71" s="134">
        <f t="shared" si="182"/>
        <v>47.599999999999994</v>
      </c>
      <c r="G71" s="134">
        <f t="shared" si="183"/>
        <v>47.599999999999994</v>
      </c>
      <c r="H71" s="134">
        <f t="shared" si="184"/>
        <v>47.599999999999994</v>
      </c>
      <c r="I71" s="134">
        <f t="shared" si="185"/>
        <v>47.599999999999994</v>
      </c>
      <c r="J71" s="134">
        <f t="shared" si="186"/>
        <v>47.599999999999994</v>
      </c>
      <c r="K71" s="134">
        <f t="shared" si="187"/>
        <v>47.599999999999994</v>
      </c>
      <c r="L71" s="134">
        <f t="shared" si="188"/>
        <v>47.599999999999994</v>
      </c>
      <c r="M71" s="134">
        <f t="shared" si="189"/>
        <v>47.599999999999994</v>
      </c>
      <c r="N71" s="135">
        <f t="shared" si="190"/>
        <v>47.599999999999994</v>
      </c>
    </row>
    <row r="72" ht="14.25">
      <c r="B72" s="71" t="s">
        <v>76</v>
      </c>
      <c r="C72" s="134">
        <f t="shared" si="179"/>
        <v>47.599999999999994</v>
      </c>
      <c r="D72" s="134">
        <f t="shared" si="180"/>
        <v>47.599999999999994</v>
      </c>
      <c r="E72" s="134">
        <f t="shared" si="181"/>
        <v>47.599999999999994</v>
      </c>
      <c r="F72" s="134">
        <f t="shared" si="182"/>
        <v>47.599999999999994</v>
      </c>
      <c r="G72" s="134">
        <f t="shared" si="183"/>
        <v>47.599999999999994</v>
      </c>
      <c r="H72" s="134">
        <f t="shared" si="184"/>
        <v>47.599999999999994</v>
      </c>
      <c r="I72" s="134">
        <f t="shared" si="185"/>
        <v>47.599999999999994</v>
      </c>
      <c r="J72" s="134">
        <f t="shared" si="186"/>
        <v>47.599999999999994</v>
      </c>
      <c r="K72" s="134">
        <f t="shared" si="187"/>
        <v>47.599999999999994</v>
      </c>
      <c r="L72" s="134">
        <f t="shared" si="188"/>
        <v>47.599999999999994</v>
      </c>
      <c r="M72" s="134">
        <f t="shared" si="189"/>
        <v>47.599999999999994</v>
      </c>
      <c r="N72" s="135">
        <f t="shared" si="190"/>
        <v>47.599999999999994</v>
      </c>
    </row>
    <row r="73" ht="14.25">
      <c r="B73" s="71" t="s">
        <v>77</v>
      </c>
      <c r="C73" s="134">
        <f t="shared" si="179"/>
        <v>47.599999999999994</v>
      </c>
      <c r="D73" s="134">
        <f t="shared" si="180"/>
        <v>47.599999999999994</v>
      </c>
      <c r="E73" s="134">
        <f t="shared" si="181"/>
        <v>47.599999999999994</v>
      </c>
      <c r="F73" s="134">
        <f t="shared" si="182"/>
        <v>47.599999999999994</v>
      </c>
      <c r="G73" s="134">
        <f t="shared" si="183"/>
        <v>47.599999999999994</v>
      </c>
      <c r="H73" s="134">
        <f t="shared" si="184"/>
        <v>47.599999999999994</v>
      </c>
      <c r="I73" s="134">
        <f t="shared" si="185"/>
        <v>47.599999999999994</v>
      </c>
      <c r="J73" s="134">
        <f t="shared" si="186"/>
        <v>47.599999999999994</v>
      </c>
      <c r="K73" s="134">
        <f t="shared" si="187"/>
        <v>47.599999999999994</v>
      </c>
      <c r="L73" s="134">
        <f t="shared" si="188"/>
        <v>47.599999999999994</v>
      </c>
      <c r="M73" s="134">
        <f t="shared" si="189"/>
        <v>47.599999999999994</v>
      </c>
      <c r="N73" s="135">
        <f t="shared" si="190"/>
        <v>47.599999999999994</v>
      </c>
    </row>
    <row r="74" ht="14.25">
      <c r="B74" s="71" t="s">
        <v>78</v>
      </c>
      <c r="C74" s="134">
        <f t="shared" si="179"/>
        <v>47.599999999999994</v>
      </c>
      <c r="D74" s="134">
        <f t="shared" si="180"/>
        <v>47.599999999999994</v>
      </c>
      <c r="E74" s="134">
        <f t="shared" si="181"/>
        <v>47.599999999999994</v>
      </c>
      <c r="F74" s="134">
        <f t="shared" si="182"/>
        <v>47.599999999999994</v>
      </c>
      <c r="G74" s="134">
        <f t="shared" si="183"/>
        <v>47.599999999999994</v>
      </c>
      <c r="H74" s="134">
        <f t="shared" si="184"/>
        <v>47.599999999999994</v>
      </c>
      <c r="I74" s="134">
        <f t="shared" si="185"/>
        <v>47.599999999999994</v>
      </c>
      <c r="J74" s="134">
        <f t="shared" si="186"/>
        <v>47.599999999999994</v>
      </c>
      <c r="K74" s="134">
        <f t="shared" si="187"/>
        <v>47.599999999999994</v>
      </c>
      <c r="L74" s="134">
        <f t="shared" si="188"/>
        <v>47.599999999999994</v>
      </c>
      <c r="M74" s="134">
        <f t="shared" si="189"/>
        <v>47.599999999999994</v>
      </c>
      <c r="N74" s="135">
        <f t="shared" si="190"/>
        <v>47.599999999999994</v>
      </c>
    </row>
    <row r="75" ht="14.25">
      <c r="B75" s="71" t="s">
        <v>79</v>
      </c>
      <c r="C75" s="134">
        <f t="shared" si="179"/>
        <v>47.599999999999994</v>
      </c>
      <c r="D75" s="134">
        <f t="shared" si="180"/>
        <v>47.599999999999994</v>
      </c>
      <c r="E75" s="134">
        <f t="shared" si="181"/>
        <v>47.599999999999994</v>
      </c>
      <c r="F75" s="134">
        <f t="shared" si="182"/>
        <v>47.599999999999994</v>
      </c>
      <c r="G75" s="134">
        <f t="shared" si="183"/>
        <v>47.599999999999994</v>
      </c>
      <c r="H75" s="134">
        <f t="shared" si="184"/>
        <v>47.599999999999994</v>
      </c>
      <c r="I75" s="134">
        <f t="shared" si="185"/>
        <v>47.599999999999994</v>
      </c>
      <c r="J75" s="134">
        <f t="shared" si="186"/>
        <v>47.599999999999994</v>
      </c>
      <c r="K75" s="134">
        <f t="shared" si="187"/>
        <v>47.599999999999994</v>
      </c>
      <c r="L75" s="134">
        <f t="shared" si="188"/>
        <v>47.599999999999994</v>
      </c>
      <c r="M75" s="134">
        <f t="shared" si="189"/>
        <v>47.599999999999994</v>
      </c>
      <c r="N75" s="135">
        <f t="shared" si="190"/>
        <v>47.599999999999994</v>
      </c>
    </row>
    <row r="76" ht="14.25">
      <c r="B76" s="82" t="s">
        <v>80</v>
      </c>
      <c r="C76" s="153">
        <f t="shared" si="179"/>
        <v>47.599999999999994</v>
      </c>
      <c r="D76" s="154">
        <f t="shared" si="180"/>
        <v>47.599999999999994</v>
      </c>
      <c r="E76" s="154">
        <f t="shared" si="181"/>
        <v>47.599999999999994</v>
      </c>
      <c r="F76" s="154">
        <f t="shared" si="182"/>
        <v>47.599999999999994</v>
      </c>
      <c r="G76" s="154">
        <f t="shared" si="183"/>
        <v>47.599999999999994</v>
      </c>
      <c r="H76" s="154">
        <f t="shared" si="184"/>
        <v>47.599999999999994</v>
      </c>
      <c r="I76" s="154">
        <f t="shared" si="185"/>
        <v>47.599999999999994</v>
      </c>
      <c r="J76" s="154">
        <f t="shared" si="186"/>
        <v>47.599999999999994</v>
      </c>
      <c r="K76" s="154">
        <f t="shared" si="187"/>
        <v>47.599999999999994</v>
      </c>
      <c r="L76" s="154">
        <f t="shared" si="188"/>
        <v>47.599999999999994</v>
      </c>
      <c r="M76" s="154">
        <f t="shared" si="189"/>
        <v>47.599999999999994</v>
      </c>
      <c r="N76" s="155">
        <f t="shared" si="190"/>
        <v>47.599999999999994</v>
      </c>
    </row>
  </sheetData>
  <mergeCells count="3">
    <mergeCell ref="D14:E14"/>
    <mergeCell ref="C23:N23"/>
    <mergeCell ref="C51:N51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</cp:revision>
  <dcterms:modified xsi:type="dcterms:W3CDTF">2026-05-01T21:31:15Z</dcterms:modified>
</cp:coreProperties>
</file>