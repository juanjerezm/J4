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K-TaxRates" sheetId="1" state="visible" r:id="rId2"/>
    <sheet name="DE-TaxRates" sheetId="2" state="visible" r:id="rId3"/>
    <sheet name="FR-TaxRates" sheetId="3" state="visible" r:id="rId4"/>
    <sheet name="EU-ETS" sheetId="4" state="visible" r:id="rId5"/>
  </sheets>
  <definedNames>
    <definedName name="_xlnm._FilterDatabase" localSheetId="0" hidden="1">'DK-TaxRates'!$B$92:$F$118</definedName>
    <definedName name="Rate2" hidden="0">#REF!</definedName>
    <definedName name="_xlnm._FilterDatabase" localSheetId="0" hidden="1">'DK-TaxRates'!$B$92:$F$118</definedName>
    <definedName name="_xlnm._FilterDatabase" localSheetId="1" hidden="1">'DE-TaxRates'!$B$31:$I$56</definedName>
    <definedName name="_xlnm._FilterDatabase" localSheetId="2" hidden="1">'FR-TaxRates'!$B$33:$I$58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<sst xmlns="http://schemas.openxmlformats.org/spreadsheetml/2006/main" count="169" uniqueCount="169">
  <si>
    <t xml:space="preserve">CONVERSION FACTORS</t>
  </si>
  <si>
    <t>Value</t>
  </si>
  <si>
    <t>Units</t>
  </si>
  <si>
    <t>Notes</t>
  </si>
  <si>
    <t xml:space="preserve">Energy units</t>
  </si>
  <si>
    <t>GJ/MWh</t>
  </si>
  <si>
    <t>MWh/GJ</t>
  </si>
  <si>
    <t xml:space="preserve">Exchange rate</t>
  </si>
  <si>
    <t>EUR/DKK</t>
  </si>
  <si>
    <t>DKK/EUR</t>
  </si>
  <si>
    <t xml:space="preserve">Share of biogenic municipal waste</t>
  </si>
  <si>
    <t>-</t>
  </si>
  <si>
    <t xml:space="preserve">- Assumed from ranges found in technology catalogue (Chapter 8, Section Environment)</t>
  </si>
  <si>
    <t xml:space="preserve">CHP fuel allocation factor to heat</t>
  </si>
  <si>
    <r>
      <rPr>
        <sz val="11"/>
        <color theme="1"/>
        <rFont val="Calibri"/>
        <scheme val="minor"/>
      </rPr>
      <t>MWh</t>
    </r>
    <r>
      <rPr>
        <vertAlign val="subscript"/>
        <sz val="11"/>
        <color theme="1"/>
        <rFont val="Calibri"/>
        <scheme val="minor"/>
      </rPr>
      <t>f</t>
    </r>
    <r>
      <rPr>
        <sz val="11"/>
        <color theme="1"/>
        <rFont val="Calibri"/>
        <scheme val="minor"/>
      </rPr>
      <t>/MWh</t>
    </r>
    <r>
      <rPr>
        <vertAlign val="subscript"/>
        <sz val="11"/>
        <color theme="1"/>
        <rFont val="Calibri"/>
        <scheme val="minor"/>
      </rPr>
      <t>h</t>
    </r>
  </si>
  <si>
    <t xml:space="preserve">- How much fuel is allocated to heat, based on heat output</t>
  </si>
  <si>
    <t xml:space="preserve">ENERGY CONTENT</t>
  </si>
  <si>
    <t>Fuel</t>
  </si>
  <si>
    <t>Unit</t>
  </si>
  <si>
    <t>Note</t>
  </si>
  <si>
    <t>Biogas</t>
  </si>
  <si>
    <t>GJ/m3</t>
  </si>
  <si>
    <t>Electricity</t>
  </si>
  <si>
    <t>MWh/kWh</t>
  </si>
  <si>
    <t xml:space="preserve">Industrial heat</t>
  </si>
  <si>
    <t>MWh/MWh</t>
  </si>
  <si>
    <t xml:space="preserve">Gas oil</t>
  </si>
  <si>
    <t xml:space="preserve">- Source (skat)</t>
  </si>
  <si>
    <t xml:space="preserve">Municipal waste</t>
  </si>
  <si>
    <t>GJ/ton</t>
  </si>
  <si>
    <t xml:space="preserve">Natural gas</t>
  </si>
  <si>
    <t xml:space="preserve">Wood chips</t>
  </si>
  <si>
    <t xml:space="preserve">Wood pellets</t>
  </si>
  <si>
    <t xml:space="preserve">*Source: SØB25</t>
  </si>
  <si>
    <t xml:space="preserve">CARBON CONTENT</t>
  </si>
  <si>
    <r>
      <rPr>
        <sz val="11"/>
        <color theme="1"/>
        <rFont val="Calibri"/>
        <scheme val="minor"/>
      </rPr>
      <t>kg-CO</t>
    </r>
    <r>
      <rPr>
        <vertAlign val="subscript"/>
        <sz val="11"/>
        <color theme="1"/>
        <rFont val="Calibri"/>
        <scheme val="minor"/>
      </rPr>
      <t>2</t>
    </r>
    <r>
      <rPr>
        <sz val="11"/>
        <color theme="1"/>
        <rFont val="Calibri"/>
        <scheme val="minor"/>
      </rPr>
      <t>/GJ</t>
    </r>
  </si>
  <si>
    <t>variable</t>
  </si>
  <si>
    <t xml:space="preserve">- Assumed from otherwise unavoidable economic activity</t>
  </si>
  <si>
    <r>
      <rPr>
        <sz val="11"/>
        <color theme="1"/>
        <rFont val="Calibri"/>
        <scheme val="minor"/>
      </rPr>
      <t xml:space="preserve">- Corresponds to fossil-CO</t>
    </r>
    <r>
      <rPr>
        <vertAlign val="subscript"/>
        <sz val="11"/>
        <color theme="1"/>
        <rFont val="Calibri"/>
        <scheme val="minor"/>
      </rPr>
      <t>2</t>
    </r>
    <r>
      <rPr>
        <sz val="11"/>
        <color theme="1"/>
        <rFont val="Calibri"/>
        <scheme val="minor"/>
      </rPr>
      <t xml:space="preserve"> content only</t>
    </r>
  </si>
  <si>
    <t xml:space="preserve">*Source: SØB25, DEA Technology Catalogue (municipal waste)</t>
  </si>
  <si>
    <t xml:space="preserve">ENERGY AND ELECTRICITY TAX</t>
  </si>
  <si>
    <t xml:space="preserve">Tax rate</t>
  </si>
  <si>
    <t>HEAT-ONLY</t>
  </si>
  <si>
    <t>COGENERATION</t>
  </si>
  <si>
    <t>DKK/m3</t>
  </si>
  <si>
    <r>
      <rPr>
        <sz val="11"/>
        <color theme="1"/>
        <rFont val="Calibri"/>
        <scheme val="minor"/>
      </rPr>
      <t>€/MWh</t>
    </r>
    <r>
      <rPr>
        <vertAlign val="subscript"/>
        <sz val="11"/>
        <color theme="1"/>
        <rFont val="Calibri"/>
        <scheme val="minor"/>
      </rPr>
      <t>f</t>
    </r>
  </si>
  <si>
    <t>Heat</t>
  </si>
  <si>
    <t>DKK/kWh</t>
  </si>
  <si>
    <t>ETS</t>
  </si>
  <si>
    <t>✓</t>
  </si>
  <si>
    <t>✗</t>
  </si>
  <si>
    <t>DKK/GJ</t>
  </si>
  <si>
    <t xml:space="preserve">- Provider assumed part of energy efficiency program</t>
  </si>
  <si>
    <t>non-ETS</t>
  </si>
  <si>
    <t xml:space="preserve">*Tax coverage</t>
  </si>
  <si>
    <r>
      <rPr>
        <sz val="11"/>
        <color theme="1"/>
        <rFont val="Calibri"/>
        <scheme val="minor"/>
      </rPr>
      <t xml:space="preserve">Municipal waste (</t>
    </r>
    <r>
      <rPr>
        <i/>
        <sz val="11"/>
        <color theme="1"/>
        <rFont val="Calibri"/>
        <scheme val="minor"/>
      </rPr>
      <t>Affaldsvarmeafgift</t>
    </r>
    <r>
      <rPr>
        <sz val="11"/>
        <color theme="1"/>
        <rFont val="Calibri"/>
        <scheme val="minor"/>
      </rPr>
      <t>)</t>
    </r>
  </si>
  <si>
    <t xml:space="preserve">- Levied on heat output, biodegradable share is exempted</t>
  </si>
  <si>
    <r>
      <rPr>
        <sz val="11"/>
        <color theme="1"/>
        <rFont val="Calibri"/>
        <scheme val="minor"/>
      </rPr>
      <t>€/MWh</t>
    </r>
    <r>
      <rPr>
        <vertAlign val="subscript"/>
        <sz val="11"/>
        <color theme="1"/>
        <rFont val="Calibri"/>
        <scheme val="minor"/>
      </rPr>
      <t>h</t>
    </r>
  </si>
  <si>
    <r>
      <rPr>
        <sz val="11"/>
        <color theme="1"/>
        <rFont val="Calibri"/>
        <scheme val="minor"/>
      </rPr>
      <t xml:space="preserve">Municipal waste (</t>
    </r>
    <r>
      <rPr>
        <i/>
        <sz val="11"/>
        <color theme="1"/>
        <rFont val="Calibri"/>
        <scheme val="minor"/>
      </rPr>
      <t>Tillægsafgift</t>
    </r>
    <r>
      <rPr>
        <sz val="11"/>
        <color theme="1"/>
        <rFont val="Calibri"/>
        <scheme val="minor"/>
      </rPr>
      <t>)</t>
    </r>
  </si>
  <si>
    <t xml:space="preserve">- Levied on fuel energy content, biodegradable share is exempted</t>
  </si>
  <si>
    <t>DKK/ton</t>
  </si>
  <si>
    <t xml:space="preserve">*Fuel allocated to electricity production is exempt from energy and electricity taxes</t>
  </si>
  <si>
    <t xml:space="preserve">*Net tax rate after reimbursements</t>
  </si>
  <si>
    <t xml:space="preserve">*Rate sources:</t>
  </si>
  <si>
    <t>*Elafgiftsloven</t>
  </si>
  <si>
    <t>*Kulafgiftsloven</t>
  </si>
  <si>
    <t xml:space="preserve">Municipal waste, industrial heat</t>
  </si>
  <si>
    <t>*Gasafgiftsloven</t>
  </si>
  <si>
    <t xml:space="preserve">Natural gas, biogas</t>
  </si>
  <si>
    <t>*Mineralolieafgiftsloven</t>
  </si>
  <si>
    <t>Gasoil</t>
  </si>
  <si>
    <t xml:space="preserve">CO2 TAX</t>
  </si>
  <si>
    <r>
      <rPr>
        <sz val="11"/>
        <color theme="1"/>
        <rFont val="Calibri"/>
        <scheme val="minor"/>
      </rPr>
      <t>DKK/ton-CO</t>
    </r>
    <r>
      <rPr>
        <vertAlign val="subscript"/>
        <sz val="11"/>
        <color theme="1"/>
        <rFont val="Calibri"/>
        <scheme val="minor"/>
      </rPr>
      <t>2</t>
    </r>
  </si>
  <si>
    <t xml:space="preserve">- Levied per ton of carbon emitted, only non-biogenic share</t>
  </si>
  <si>
    <r>
      <rPr>
        <sz val="11"/>
        <color theme="1"/>
        <rFont val="Calibri"/>
        <scheme val="minor"/>
      </rPr>
      <t>€/ton-CO</t>
    </r>
    <r>
      <rPr>
        <vertAlign val="subscript"/>
        <sz val="11"/>
        <color theme="1"/>
        <rFont val="Calibri"/>
        <scheme val="minor"/>
      </rPr>
      <t>2</t>
    </r>
  </si>
  <si>
    <t xml:space="preserve">*Rate source:</t>
  </si>
  <si>
    <t>*CO2-afgiftsloven</t>
  </si>
  <si>
    <t xml:space="preserve">EMISSION TAX</t>
  </si>
  <si>
    <r>
      <rPr>
        <sz val="11"/>
        <color theme="1"/>
        <rFont val="Calibri"/>
        <scheme val="minor"/>
      </rPr>
      <t>DKK/tCO</t>
    </r>
    <r>
      <rPr>
        <vertAlign val="subscript"/>
        <sz val="11"/>
        <color theme="1"/>
        <rFont val="Calibri"/>
        <scheme val="minor"/>
      </rPr>
      <t>2</t>
    </r>
  </si>
  <si>
    <t xml:space="preserve">- Assumed unblended with natural gas, therefore exempt</t>
  </si>
  <si>
    <t>*Emissionsafgiftsloven</t>
  </si>
  <si>
    <t>SUMMARY</t>
  </si>
  <si>
    <t>GENERATOR</t>
  </si>
  <si>
    <t>TYPE</t>
  </si>
  <si>
    <t>FUEL</t>
  </si>
  <si>
    <t>HEAT</t>
  </si>
  <si>
    <t>ELECTRICITY</t>
  </si>
  <si>
    <t>EMISSIONS</t>
  </si>
  <si>
    <r>
      <rPr>
        <sz val="11"/>
        <color theme="1"/>
        <rFont val="Carlito"/>
      </rPr>
      <t>€/MWh</t>
    </r>
    <r>
      <rPr>
        <vertAlign val="subscript"/>
        <sz val="11"/>
        <color theme="1"/>
        <rFont val="Carlito"/>
      </rPr>
      <t>f</t>
    </r>
  </si>
  <si>
    <r>
      <rPr>
        <sz val="11"/>
        <color theme="1"/>
        <rFont val="Calibri"/>
        <scheme val="minor"/>
      </rPr>
      <t>€/MWh</t>
    </r>
    <r>
      <rPr>
        <vertAlign val="subscript"/>
        <sz val="11"/>
        <color theme="1"/>
        <rFont val="Calibri"/>
        <scheme val="minor"/>
      </rPr>
      <t>e</t>
    </r>
  </si>
  <si>
    <r>
      <rPr>
        <sz val="11"/>
        <color theme="1"/>
        <rFont val="Calibri"/>
        <scheme val="minor"/>
      </rPr>
      <t>€/kg-CO</t>
    </r>
    <r>
      <rPr>
        <vertAlign val="subscript"/>
        <sz val="11"/>
        <color theme="1"/>
        <rFont val="Calibri"/>
        <scheme val="minor"/>
      </rPr>
      <t>2</t>
    </r>
  </si>
  <si>
    <t>AMV1</t>
  </si>
  <si>
    <t>BP</t>
  </si>
  <si>
    <t xml:space="preserve">'wood pellets'</t>
  </si>
  <si>
    <t>AMV4</t>
  </si>
  <si>
    <t xml:space="preserve">'wood chips'</t>
  </si>
  <si>
    <t>ARC</t>
  </si>
  <si>
    <t xml:space="preserve">'municipal waste'</t>
  </si>
  <si>
    <t>ARGO5</t>
  </si>
  <si>
    <t>ARGO6</t>
  </si>
  <si>
    <t>AVV1</t>
  </si>
  <si>
    <t>EX</t>
  </si>
  <si>
    <t>AVV2</t>
  </si>
  <si>
    <t>HCV7</t>
  </si>
  <si>
    <t xml:space="preserve">'natural gas'</t>
  </si>
  <si>
    <t>HCV8</t>
  </si>
  <si>
    <t>KKV8</t>
  </si>
  <si>
    <t>VF5</t>
  </si>
  <si>
    <t>VF6</t>
  </si>
  <si>
    <t>HOB_BG-S</t>
  </si>
  <si>
    <t>HO</t>
  </si>
  <si>
    <t>'biogas'</t>
  </si>
  <si>
    <t>HOB_EL</t>
  </si>
  <si>
    <t>'electricity'</t>
  </si>
  <si>
    <t>HOB_GO-L</t>
  </si>
  <si>
    <t xml:space="preserve">'gas oil'</t>
  </si>
  <si>
    <t>HOB_GO-S</t>
  </si>
  <si>
    <t>HOB_NG-L</t>
  </si>
  <si>
    <t>HOB_NG-S</t>
  </si>
  <si>
    <t>HOB_WP-S</t>
  </si>
  <si>
    <t>HP_AMBIENT</t>
  </si>
  <si>
    <t>HP_PROCESS</t>
  </si>
  <si>
    <t>INDUSTRY</t>
  </si>
  <si>
    <t xml:space="preserve">'industrial heat'</t>
  </si>
  <si>
    <t>ELECTRIC_CHILLER</t>
  </si>
  <si>
    <t>CO</t>
  </si>
  <si>
    <t>FREE_COOLING</t>
  </si>
  <si>
    <t>HP_RECOVERY</t>
  </si>
  <si>
    <t>HR</t>
  </si>
  <si>
    <t xml:space="preserve">- Energy tax is applied on heat output rather than fuel input for CHPs, to apply allocation rules in a linear way.</t>
  </si>
  <si>
    <t xml:space="preserve">- CO2 tax is applied on heat output rather than fuel input for CHPs in ETS, to apply allocation rules in a linear way.</t>
  </si>
  <si>
    <t xml:space="preserve">- CO2 tax for municipal waste is applied on emission output, the non-biogenic share is already covered by the fossil-only carbon intensity of fuel</t>
  </si>
  <si>
    <t xml:space="preserve">CHP exemption</t>
  </si>
  <si>
    <t>€/m3</t>
  </si>
  <si>
    <t xml:space="preserve">- Full exemption for CHPs assumed</t>
  </si>
  <si>
    <t>BEHG</t>
  </si>
  <si>
    <r>
      <rPr>
        <sz val="11"/>
        <color theme="1"/>
        <rFont val="Calibri"/>
        <scheme val="minor"/>
      </rPr>
      <t>€/tCO</t>
    </r>
    <r>
      <rPr>
        <vertAlign val="subscript"/>
        <sz val="11"/>
        <color theme="1"/>
        <rFont val="Calibri"/>
        <scheme val="minor"/>
      </rPr>
      <t>2</t>
    </r>
  </si>
  <si>
    <t xml:space="preserve">- Biogenic, zero emission factor</t>
  </si>
  <si>
    <t xml:space="preserve">- Fossil fraction only</t>
  </si>
  <si>
    <t xml:space="preserve">*Only applies for non-ETS plants. Waste incinerators apply as well; they are in ETS but in monitoring state</t>
  </si>
  <si>
    <t xml:space="preserve">Month
(2025)</t>
  </si>
  <si>
    <t xml:space="preserve">Natural Gas
non-ETS</t>
  </si>
  <si>
    <t xml:space="preserve">Natural Gas
ETS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</si>
  <si>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</si>
  <si>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</si>
  <si>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</si>
  <si>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</si>
  <si>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</si>
  <si>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</si>
  <si>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</si>
  <si>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</si>
  <si>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</si>
  <si>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</si>
  <si>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</si>
  <si>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</si>
  <si>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</si>
  <si>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 xml:space="preserve">- Annual mean for electro-intensive industries</t>
  </si>
  <si>
    <t xml:space="preserve">- Annual mean</t>
  </si>
  <si>
    <t xml:space="preserve">- High energy-recovery installation assumed</t>
  </si>
  <si>
    <r>
      <rPr>
        <sz val="11"/>
        <color theme="1"/>
        <rFont val="Calibri"/>
        <scheme val="minor"/>
      </rPr>
      <t xml:space="preserve">Natural gas </t>
    </r>
    <r>
      <rPr>
        <i/>
        <sz val="11"/>
        <color theme="1"/>
        <rFont val="Calibri"/>
        <scheme val="minor"/>
      </rPr>
      <t>(ETS)</t>
    </r>
  </si>
  <si>
    <r>
      <rPr>
        <sz val="11"/>
        <color theme="1"/>
        <rFont val="Calibri"/>
        <scheme val="minor"/>
      </rPr>
      <t xml:space="preserve">Natural gas </t>
    </r>
    <r>
      <rPr>
        <i/>
        <sz val="11"/>
        <color theme="1"/>
        <rFont val="Calibri"/>
        <scheme val="minor"/>
      </rPr>
      <t>(non-ETS)</t>
    </r>
  </si>
  <si>
    <t>DK</t>
  </si>
  <si>
    <t>FR</t>
  </si>
  <si>
    <t>DE</t>
  </si>
  <si>
    <t>CHP</t>
  </si>
  <si>
    <t>✓(0)</t>
  </si>
  <si>
    <t>✓/✗</t>
  </si>
  <si>
    <t xml:space="preserve">EU ETS price</t>
  </si>
  <si>
    <t>€/ton-CO2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</si>
</sst>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0.00000"/>
    <numFmt numFmtId="166" formatCode="0.0"/>
    <numFmt numFmtId="167" formatCode="0.000"/>
  </numFmts>
  <fonts count="17">
    <font>
      <sz val="11.000000"/>
      <color theme="1"/>
      <name val="Calibri"/>
      <scheme val="minor"/>
    </font>
    <font>
      <b/>
      <u/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theme="1" tint="0.499984740745262"/>
      <name val="Calibri"/>
      <scheme val="minor"/>
    </font>
    <font>
      <b/>
      <color theme="1"/>
      <name val="Calibri"/>
      <scheme val="minor"/>
    </font>
    <font>
      <u/>
      <sz val="11.000000"/>
      <color theme="10"/>
      <name val="Calibri"/>
    </font>
    <font>
      <i/>
      <sz val="11.000000"/>
      <color theme="1" tint="0.499984740745262"/>
      <name val="Calibri"/>
      <scheme val="minor"/>
    </font>
    <font>
      <i/>
      <sz val="11.000000"/>
      <color theme="0" tint="-0.499984740745262"/>
      <name val="Calibri"/>
      <scheme val="minor"/>
    </font>
    <font>
      <i/>
      <u/>
      <sz val="11.000000"/>
      <color theme="10"/>
      <name val="Calibri"/>
    </font>
    <font>
      <i/>
      <sz val="11.000000"/>
      <color theme="1"/>
      <name val="Calibri"/>
      <scheme val="minor"/>
    </font>
    <font>
      <b/>
      <sz val="11.000000"/>
      <name val="Carlito"/>
    </font>
    <font>
      <b/>
      <sz val="11.000000"/>
      <color theme="1"/>
      <name val="Carlito"/>
    </font>
    <font>
      <sz val="11.000000"/>
      <color theme="1"/>
      <name val="Carlito"/>
    </font>
    <font>
      <sz val="11.000000"/>
      <name val="Carlito"/>
    </font>
    <font>
      <i/>
      <sz val="11.000000"/>
      <color theme="1" tint="0.34998626667073579"/>
      <name val="Calibri"/>
      <scheme val="minor"/>
    </font>
    <font>
      <sz val="10.500000"/>
      <name val="Liberation Sans"/>
    </font>
    <font>
      <sz val="9.000000"/>
      <name val="Liberation Sans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"/>
        <bgColor theme="9" tint="0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theme="5" tint="0"/>
        <bgColor theme="5" tint="0"/>
      </patternFill>
    </fill>
    <fill>
      <patternFill patternType="solid">
        <fgColor theme="7" tint="0"/>
        <bgColor theme="7" tint="0"/>
      </patternFill>
    </fill>
    <fill>
      <patternFill patternType="solid">
        <fgColor theme="4" tint="0"/>
        <bgColor theme="4" tint="0"/>
      </patternFill>
    </fill>
  </fills>
  <borders count="21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203">
    <xf fontId="0" fillId="0" borderId="0" numFmtId="0" xfId="0"/>
    <xf fontId="0" fillId="3" borderId="0" numFmtId="0" xfId="0" applyFill="1"/>
    <xf fontId="1" fillId="3" borderId="0" numFmtId="0" xfId="0" applyFont="1" applyFill="1" applyAlignment="1">
      <alignment horizontal="center"/>
    </xf>
    <xf fontId="2" fillId="0" borderId="1" numFmtId="0" xfId="0" applyFont="1" applyBorder="1" applyAlignment="1">
      <alignment horizontal="center"/>
    </xf>
    <xf fontId="2" fillId="0" borderId="2" numFmtId="0" xfId="0" applyFont="1" applyBorder="1" applyAlignment="1">
      <alignment horizontal="center"/>
    </xf>
    <xf fontId="2" fillId="0" borderId="3" numFmtId="0" xfId="0" applyFont="1" applyBorder="1" applyAlignment="1">
      <alignment horizontal="center"/>
    </xf>
    <xf fontId="2" fillId="0" borderId="4" numFmtId="0" xfId="0" applyFont="1" applyBorder="1" applyAlignment="1">
      <alignment horizontal="left" vertical="center"/>
    </xf>
    <xf fontId="0" fillId="0" borderId="5" numFmtId="164" xfId="0" applyNumberFormat="1" applyBorder="1" applyAlignment="1">
      <alignment vertical="center"/>
    </xf>
    <xf fontId="0" fillId="0" borderId="6" numFmtId="0" xfId="0" applyBorder="1" applyAlignment="1">
      <alignment horizontal="right" vertical="center"/>
    </xf>
    <xf fontId="0" fillId="0" borderId="4" numFmtId="0" xfId="0" applyBorder="1" applyAlignment="1">
      <alignment vertical="center"/>
    </xf>
    <xf fontId="2" fillId="0" borderId="7" numFmtId="0" xfId="0" applyFont="1" applyBorder="1" applyAlignment="1">
      <alignment horizontal="left" vertical="center"/>
    </xf>
    <xf fontId="0" fillId="0" borderId="8" numFmtId="164" xfId="0" applyNumberFormat="1" applyBorder="1" applyAlignment="1">
      <alignment vertical="center"/>
    </xf>
    <xf fontId="0" fillId="0" borderId="9" numFmtId="0" xfId="0" applyBorder="1" applyAlignment="1">
      <alignment horizontal="right" vertical="center"/>
    </xf>
    <xf fontId="0" fillId="0" borderId="7" numFmtId="0" xfId="0" applyBorder="1" applyAlignment="1">
      <alignment vertical="center"/>
    </xf>
    <xf fontId="2" fillId="0" borderId="10" numFmtId="0" xfId="0" applyFont="1" applyBorder="1" applyAlignment="1">
      <alignment horizontal="left" wrapText="1"/>
    </xf>
    <xf fontId="0" fillId="0" borderId="2" numFmtId="9" xfId="0" applyNumberFormat="1" applyBorder="1" applyAlignment="1">
      <alignment vertical="center"/>
    </xf>
    <xf fontId="0" fillId="0" borderId="3" numFmtId="0" xfId="0" applyBorder="1" applyAlignment="1">
      <alignment horizontal="right" vertical="center"/>
    </xf>
    <xf fontId="0" fillId="0" borderId="10" numFmtId="0" xfId="0" applyBorder="1" applyAlignment="1" quotePrefix="1">
      <alignment vertical="center"/>
    </xf>
    <xf fontId="2" fillId="0" borderId="11" numFmtId="0" xfId="0" applyFont="1" applyBorder="1"/>
    <xf fontId="0" fillId="0" borderId="1" numFmtId="9" xfId="0" applyNumberFormat="1" applyBorder="1"/>
    <xf fontId="0" fillId="0" borderId="3" numFmtId="0" xfId="0" applyBorder="1" applyAlignment="1">
      <alignment horizontal="right"/>
    </xf>
    <xf fontId="0" fillId="0" borderId="9" numFmtId="0" xfId="0" applyBorder="1" quotePrefix="1"/>
    <xf fontId="0" fillId="0" borderId="0" numFmtId="0" xfId="0"/>
    <xf fontId="0" fillId="0" borderId="0" numFmtId="9" xfId="0" applyNumberFormat="1"/>
    <xf fontId="3" fillId="3" borderId="0" numFmtId="0" xfId="0" applyFont="1" applyFill="1"/>
    <xf fontId="2" fillId="0" borderId="10" numFmtId="0" xfId="0" applyFont="1" applyBorder="1" applyAlignment="1">
      <alignment horizontal="center"/>
      <protection hidden="0" locked="1"/>
    </xf>
    <xf fontId="4" fillId="0" borderId="1" numFmtId="0" xfId="0" applyFont="1" applyBorder="1" applyAlignment="1">
      <alignment horizontal="center"/>
    </xf>
    <xf fontId="4" fillId="0" borderId="2" numFmtId="0" xfId="0" applyFont="1" applyBorder="1" applyAlignment="1">
      <alignment horizontal="center"/>
    </xf>
    <xf fontId="0" fillId="0" borderId="4" numFmtId="0" xfId="0" applyBorder="1" applyAlignment="1">
      <alignment horizontal="left" vertical="center"/>
      <protection hidden="0" locked="1"/>
    </xf>
    <xf fontId="0" fillId="0" borderId="0" numFmtId="165" xfId="0" applyNumberFormat="1">
      <protection hidden="0" locked="1"/>
    </xf>
    <xf fontId="0" fillId="0" borderId="0" numFmtId="0" xfId="0" applyAlignment="1">
      <alignment horizontal="right"/>
      <protection hidden="0" locked="1"/>
    </xf>
    <xf fontId="0" fillId="0" borderId="6" numFmtId="0" xfId="0" applyBorder="1">
      <protection hidden="0" locked="1"/>
    </xf>
    <xf fontId="0" fillId="0" borderId="12" numFmtId="0" xfId="0" applyBorder="1" applyAlignment="1">
      <alignment horizontal="left" vertical="center"/>
      <protection hidden="0" locked="1"/>
    </xf>
    <xf fontId="0" fillId="0" borderId="0" numFmtId="165" xfId="0" applyNumberFormat="1" applyAlignment="1">
      <alignment horizontal="right"/>
      <protection hidden="0" locked="1"/>
    </xf>
    <xf fontId="0" fillId="0" borderId="13" numFmtId="0" xfId="0" applyBorder="1">
      <protection hidden="0" locked="1"/>
    </xf>
    <xf fontId="0" fillId="0" borderId="13" numFmtId="0" xfId="0" applyBorder="1"/>
    <xf fontId="0" fillId="0" borderId="0" numFmtId="165" xfId="0" applyNumberFormat="1"/>
    <xf fontId="0" fillId="0" borderId="0" numFmtId="0" xfId="0" applyAlignment="1">
      <alignment horizontal="right"/>
    </xf>
    <xf fontId="5" fillId="0" borderId="13" numFmtId="0" xfId="0" applyFont="1" applyBorder="1" quotePrefix="1">
      <protection hidden="0" locked="1"/>
    </xf>
    <xf fontId="0" fillId="0" borderId="7" numFmtId="0" xfId="0" applyBorder="1" applyAlignment="1">
      <alignment horizontal="left" vertical="center"/>
      <protection hidden="0" locked="1"/>
    </xf>
    <xf fontId="0" fillId="0" borderId="11" numFmtId="165" xfId="0" applyNumberFormat="1" applyBorder="1"/>
    <xf fontId="0" fillId="0" borderId="8" numFmtId="0" xfId="0" applyBorder="1" applyAlignment="1">
      <alignment horizontal="right"/>
    </xf>
    <xf fontId="0" fillId="0" borderId="9" numFmtId="0" xfId="0" applyBorder="1">
      <protection hidden="0" locked="1"/>
    </xf>
    <xf fontId="6" fillId="0" borderId="0" numFmtId="0" xfId="0" applyFont="1"/>
    <xf fontId="0" fillId="0" borderId="0" numFmtId="0" xfId="0">
      <protection hidden="0" locked="1"/>
    </xf>
    <xf fontId="0" fillId="0" borderId="8" numFmtId="0" xfId="0" applyBorder="1">
      <protection hidden="0" locked="1"/>
    </xf>
    <xf fontId="0" fillId="0" borderId="0" numFmtId="166" xfId="0" applyNumberFormat="1">
      <protection hidden="0" locked="1"/>
    </xf>
    <xf fontId="0" fillId="0" borderId="0" numFmtId="166" xfId="0" applyNumberFormat="1" applyAlignment="1">
      <alignment horizontal="right"/>
      <protection hidden="0" locked="1"/>
    </xf>
    <xf fontId="0" fillId="0" borderId="13" numFmtId="0" xfId="0" applyBorder="1" quotePrefix="1"/>
    <xf fontId="5" fillId="0" borderId="13" numFmtId="0" xfId="0" applyFont="1" applyBorder="1">
      <protection hidden="0" locked="1"/>
    </xf>
    <xf fontId="0" fillId="0" borderId="0" numFmtId="166" xfId="0" applyNumberFormat="1" applyAlignment="1">
      <alignment vertical="center"/>
      <protection hidden="0" locked="1"/>
    </xf>
    <xf fontId="0" fillId="0" borderId="0" numFmtId="0" xfId="0" applyAlignment="1">
      <alignment horizontal="right" vertical="center"/>
    </xf>
    <xf fontId="0" fillId="0" borderId="0" numFmtId="0" xfId="0" quotePrefix="1"/>
    <xf fontId="0" fillId="0" borderId="11" numFmtId="166" xfId="0" applyNumberFormat="1" applyBorder="1"/>
    <xf fontId="0" fillId="0" borderId="0" numFmtId="0" xfId="0" applyAlignment="1">
      <alignment horizontal="left" vertical="center"/>
      <protection hidden="0" locked="1"/>
    </xf>
    <xf fontId="2" fillId="0" borderId="1" numFmtId="0" xfId="0" applyFont="1" applyBorder="1" applyAlignment="1">
      <alignment horizontal="center" vertical="center"/>
    </xf>
    <xf fontId="2" fillId="0" borderId="3" numFmtId="0" xfId="0" applyFont="1" applyBorder="1" applyAlignment="1">
      <alignment horizontal="center" vertical="center"/>
    </xf>
    <xf fontId="0" fillId="0" borderId="14" numFmtId="0" xfId="0" applyBorder="1" applyAlignment="1">
      <alignment horizontal="left" vertical="center"/>
      <protection hidden="0" locked="1"/>
    </xf>
    <xf fontId="2" fillId="0" borderId="4" numFmtId="0" xfId="0" applyFont="1" applyBorder="1" applyAlignment="1">
      <alignment horizontal="left" vertical="center"/>
      <protection hidden="0" locked="1"/>
    </xf>
    <xf fontId="2" fillId="0" borderId="15" numFmtId="0" xfId="0" applyFont="1" applyBorder="1" applyAlignment="1">
      <alignment horizontal="center" vertical="center"/>
      <protection hidden="0" locked="1"/>
    </xf>
    <xf fontId="2" fillId="0" borderId="16" numFmtId="0" xfId="0" applyFont="1" applyBorder="1" applyAlignment="1">
      <alignment horizontal="center" vertical="center"/>
      <protection hidden="0" locked="1"/>
    </xf>
    <xf fontId="0" fillId="0" borderId="0" numFmtId="167" xfId="0" applyNumberFormat="1"/>
    <xf fontId="0" fillId="0" borderId="17" numFmtId="2" xfId="0" applyNumberFormat="1" applyBorder="1" applyAlignment="1">
      <alignment horizontal="right"/>
      <protection hidden="0" locked="1"/>
    </xf>
    <xf fontId="0" fillId="0" borderId="13" numFmtId="0" xfId="0" applyBorder="1" applyAlignment="1">
      <alignment horizontal="right"/>
    </xf>
    <xf fontId="0" fillId="0" borderId="17" numFmtId="0" xfId="0" applyBorder="1" applyAlignment="1">
      <alignment horizontal="left" vertical="center"/>
      <protection hidden="0" locked="1"/>
    </xf>
    <xf fontId="0" fillId="0" borderId="10" numFmtId="0" xfId="0" applyBorder="1" applyAlignment="1">
      <alignment horizontal="center" vertical="center"/>
      <protection hidden="0" locked="1"/>
    </xf>
    <xf fontId="0" fillId="0" borderId="1" numFmtId="0" xfId="0" applyBorder="1" applyAlignment="1">
      <alignment horizontal="center" vertical="center"/>
      <protection hidden="0" locked="1"/>
    </xf>
    <xf fontId="0" fillId="0" borderId="3" numFmtId="0" xfId="0" applyBorder="1" applyAlignment="1">
      <alignment horizontal="center" vertical="center"/>
      <protection hidden="0" locked="1"/>
    </xf>
    <xf fontId="0" fillId="4" borderId="12" numFmtId="0" xfId="0" applyFill="1" applyBorder="1" applyAlignment="1">
      <alignment horizontal="center" vertical="center"/>
      <protection hidden="0" locked="1"/>
    </xf>
    <xf fontId="0" fillId="5" borderId="13" numFmtId="0" xfId="0" applyFill="1" applyBorder="1" applyAlignment="1">
      <alignment horizontal="center" vertical="center"/>
      <protection hidden="0" locked="1"/>
    </xf>
    <xf fontId="2" fillId="0" borderId="7" numFmtId="0" xfId="0" applyFont="1" applyBorder="1" applyAlignment="1">
      <alignment horizontal="left" vertical="center"/>
      <protection hidden="0" locked="1"/>
    </xf>
    <xf fontId="0" fillId="4" borderId="7" numFmtId="0" xfId="0" applyFill="1" applyBorder="1" applyAlignment="1">
      <alignment horizontal="center" vertical="center"/>
      <protection hidden="0" locked="1"/>
    </xf>
    <xf fontId="0" fillId="5" borderId="9" numFmtId="0" xfId="0" applyFill="1" applyBorder="1" applyAlignment="1">
      <alignment horizontal="center" vertical="center"/>
      <protection hidden="0" locked="1"/>
    </xf>
    <xf fontId="7" fillId="0" borderId="0" numFmtId="0" xfId="0" applyFont="1" applyAlignment="1">
      <alignment horizontal="left" vertical="center"/>
      <protection hidden="0" locked="1"/>
    </xf>
    <xf fontId="0" fillId="0" borderId="12" numFmtId="0" xfId="0" applyBorder="1" applyAlignment="1">
      <alignment vertical="center"/>
    </xf>
    <xf fontId="0" fillId="0" borderId="13" numFmtId="0" xfId="0" applyBorder="1" quotePrefix="1"/>
    <xf fontId="0" fillId="6" borderId="13" numFmtId="0" xfId="0" applyFill="1" applyBorder="1" applyAlignment="1">
      <alignment horizontal="right"/>
    </xf>
    <xf fontId="0" fillId="0" borderId="0" numFmtId="2" xfId="0" applyNumberFormat="1"/>
    <xf fontId="2" fillId="0" borderId="10" numFmtId="0" xfId="0" applyFont="1" applyBorder="1" applyAlignment="1">
      <alignment horizontal="left" vertical="center"/>
      <protection hidden="0" locked="1"/>
    </xf>
    <xf fontId="2" fillId="0" borderId="1" numFmtId="0" xfId="0" applyFont="1" applyBorder="1" applyAlignment="1">
      <alignment horizontal="center" vertical="center"/>
      <protection hidden="0" locked="1"/>
    </xf>
    <xf fontId="2" fillId="0" borderId="3" numFmtId="0" xfId="0" applyFont="1" applyBorder="1" applyAlignment="1">
      <alignment horizontal="center" vertical="center"/>
      <protection hidden="0" locked="1"/>
    </xf>
    <xf fontId="0" fillId="0" borderId="10" numFmtId="0" xfId="0" applyBorder="1" applyAlignment="1">
      <alignment horizontal="center" vertical="center"/>
      <protection hidden="0" locked="1"/>
    </xf>
    <xf fontId="0" fillId="4" borderId="4" numFmtId="9" xfId="0" applyNumberFormat="1" applyFill="1" applyBorder="1" applyAlignment="1">
      <alignment horizontal="center" vertical="center"/>
      <protection hidden="0" locked="1"/>
    </xf>
    <xf fontId="0" fillId="5" borderId="4" numFmtId="9" xfId="0" applyNumberFormat="1" applyFill="1" applyBorder="1" applyAlignment="1">
      <alignment horizontal="center" vertical="center"/>
      <protection hidden="0" locked="1"/>
    </xf>
    <xf fontId="0" fillId="0" borderId="8" numFmtId="167" xfId="0" applyNumberFormat="1" applyBorder="1"/>
    <xf fontId="0" fillId="0" borderId="9" numFmtId="0" xfId="0" applyBorder="1"/>
    <xf fontId="0" fillId="0" borderId="11" numFmtId="2" xfId="0" applyNumberFormat="1" applyBorder="1" applyAlignment="1">
      <alignment horizontal="right"/>
      <protection hidden="0" locked="1"/>
    </xf>
    <xf fontId="0" fillId="0" borderId="9" numFmtId="0" xfId="0" applyBorder="1" applyAlignment="1">
      <alignment horizontal="right"/>
    </xf>
    <xf fontId="0" fillId="4" borderId="7" numFmtId="9" xfId="0" applyNumberFormat="1" applyFill="1" applyBorder="1" applyAlignment="1">
      <alignment horizontal="center" vertical="center"/>
      <protection hidden="0" locked="1"/>
    </xf>
    <xf fontId="0" fillId="5" borderId="7" numFmtId="9" xfId="0" applyNumberFormat="1" applyFill="1" applyBorder="1" applyAlignment="1">
      <alignment horizontal="center" vertical="center"/>
      <protection hidden="0" locked="1"/>
    </xf>
    <xf fontId="8" fillId="0" borderId="0" numFmtId="0" xfId="0" applyFont="1" applyAlignment="1">
      <alignment horizontal="left" vertical="center"/>
      <protection hidden="0" locked="1"/>
    </xf>
    <xf fontId="9" fillId="0" borderId="0" numFmtId="0" xfId="0" applyFont="1"/>
    <xf fontId="0" fillId="0" borderId="0" numFmtId="0" xfId="0"/>
    <xf fontId="0" fillId="0" borderId="0" numFmtId="0" xfId="0" applyAlignment="1">
      <alignment horizontal="left" vertical="center"/>
      <protection hidden="0" locked="1"/>
    </xf>
    <xf fontId="2" fillId="0" borderId="1" numFmtId="0" xfId="0" applyFont="1" applyBorder="1" applyAlignment="1">
      <alignment horizontal="center"/>
      <protection hidden="0" locked="1"/>
    </xf>
    <xf fontId="0" fillId="0" borderId="0" numFmtId="167" xfId="0" applyNumberFormat="1">
      <protection hidden="0" locked="1"/>
    </xf>
    <xf fontId="0" fillId="0" borderId="0" numFmtId="167" xfId="0" applyNumberFormat="1" applyAlignment="1">
      <alignment horizontal="right" vertical="center"/>
      <protection hidden="0" locked="1"/>
    </xf>
    <xf fontId="0" fillId="0" borderId="17" numFmtId="2" xfId="0" applyNumberFormat="1" applyBorder="1" applyAlignment="1">
      <alignment horizontal="right"/>
      <protection hidden="0" locked="1"/>
    </xf>
    <xf fontId="0" fillId="0" borderId="13" numFmtId="0" xfId="0" applyBorder="1" applyAlignment="1">
      <alignment horizontal="right"/>
    </xf>
    <xf fontId="0" fillId="7" borderId="4" numFmtId="0" xfId="0" applyFill="1" applyBorder="1" applyAlignment="1">
      <alignment horizontal="center" vertical="center"/>
      <protection hidden="0" locked="1"/>
    </xf>
    <xf fontId="0" fillId="5" borderId="4" numFmtId="0" xfId="0" applyFill="1" applyBorder="1" applyAlignment="1">
      <alignment horizontal="center" vertical="center"/>
      <protection hidden="0" locked="1"/>
    </xf>
    <xf fontId="0" fillId="0" borderId="0" numFmtId="0" xfId="0" applyAlignment="1">
      <alignment horizontal="right"/>
    </xf>
    <xf fontId="0" fillId="0" borderId="0" numFmtId="167" xfId="0" applyNumberFormat="1" applyAlignment="1">
      <alignment horizontal="right" vertical="center"/>
      <protection hidden="0" locked="1"/>
    </xf>
    <xf fontId="0" fillId="0" borderId="11" numFmtId="0" xfId="0" applyBorder="1" applyAlignment="1">
      <alignment horizontal="left" vertical="center"/>
      <protection hidden="0" locked="1"/>
    </xf>
    <xf fontId="0" fillId="0" borderId="8" numFmtId="167" xfId="0" applyNumberFormat="1" applyBorder="1" applyAlignment="1">
      <alignment horizontal="right" vertical="center"/>
      <protection hidden="0" locked="1"/>
    </xf>
    <xf fontId="0" fillId="0" borderId="8" numFmtId="0" xfId="0" applyBorder="1" applyAlignment="1">
      <alignment horizontal="right"/>
      <protection hidden="0" locked="1"/>
    </xf>
    <xf fontId="0" fillId="0" borderId="11" numFmtId="2" xfId="0" applyNumberFormat="1" applyBorder="1" applyAlignment="1">
      <alignment horizontal="right"/>
      <protection hidden="0" locked="1"/>
    </xf>
    <xf fontId="0" fillId="0" borderId="9" numFmtId="0" xfId="0" applyBorder="1" applyAlignment="1">
      <alignment horizontal="right"/>
    </xf>
    <xf fontId="0" fillId="7" borderId="4" numFmtId="9" xfId="0" applyNumberFormat="1" applyFill="1" applyBorder="1" applyAlignment="1">
      <alignment horizontal="center" vertical="center"/>
      <protection hidden="0" locked="1"/>
    </xf>
    <xf fontId="0" fillId="0" borderId="0" numFmtId="2" xfId="0" applyNumberFormat="1" applyAlignment="1">
      <alignment horizontal="right"/>
      <protection hidden="0" locked="1"/>
    </xf>
    <xf fontId="0" fillId="0" borderId="0" numFmtId="0" xfId="0" applyAlignment="1">
      <alignment horizontal="center" vertical="center"/>
    </xf>
    <xf fontId="0" fillId="0" borderId="13" numFmtId="0" xfId="0" applyBorder="1" quotePrefix="1">
      <protection hidden="0" locked="1"/>
    </xf>
    <xf fontId="0" fillId="4" borderId="4" numFmtId="0" xfId="0" applyFill="1" applyBorder="1" applyAlignment="1">
      <alignment horizontal="center" vertical="center"/>
      <protection hidden="0" locked="1"/>
    </xf>
    <xf fontId="0" fillId="4" borderId="4" numFmtId="0" xfId="0" applyFill="1" applyBorder="1" applyAlignment="1">
      <alignment horizontal="center" vertical="center"/>
      <protection hidden="0" locked="1"/>
    </xf>
    <xf fontId="0" fillId="4" borderId="7" numFmtId="0" xfId="0" applyFill="1" applyBorder="1" applyAlignment="1">
      <alignment horizontal="center" vertical="center"/>
      <protection hidden="0" locked="1"/>
    </xf>
    <xf fontId="0" fillId="0" borderId="8" numFmtId="0" xfId="0" applyBorder="1" applyAlignment="1">
      <alignment horizontal="right"/>
      <protection hidden="0" locked="1"/>
    </xf>
    <xf fontId="0" fillId="4" borderId="4" numFmtId="9" xfId="0" applyNumberFormat="1" applyFill="1" applyBorder="1" applyAlignment="1">
      <alignment horizontal="center" vertical="center"/>
      <protection hidden="0" locked="1"/>
    </xf>
    <xf fontId="8" fillId="0" borderId="0" numFmtId="0" xfId="0" applyFont="1"/>
    <xf fontId="10" fillId="0" borderId="18" numFmtId="0" xfId="0" applyFont="1" applyBorder="1" applyAlignment="1">
      <alignment horizontal="center"/>
    </xf>
    <xf fontId="11" fillId="0" borderId="18" numFmtId="0" xfId="0" applyFont="1" applyBorder="1" applyAlignment="1">
      <alignment horizontal="center"/>
    </xf>
    <xf fontId="11" fillId="0" borderId="15" numFmtId="0" xfId="0" applyFont="1" applyBorder="1" applyAlignment="1">
      <alignment horizontal="center"/>
    </xf>
    <xf fontId="11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/>
    </xf>
    <xf fontId="10" fillId="0" borderId="19" numFmtId="0" xfId="0" applyFont="1" applyBorder="1" applyAlignment="1">
      <alignment horizontal="center"/>
    </xf>
    <xf fontId="11" fillId="0" borderId="19" numFmtId="0" xfId="0" applyFont="1" applyBorder="1" applyAlignment="1">
      <alignment horizontal="center"/>
    </xf>
    <xf fontId="11" fillId="0" borderId="20" numFmtId="0" xfId="0" applyFont="1" applyBorder="1" applyAlignment="1">
      <alignment horizontal="center"/>
    </xf>
    <xf fontId="12" fillId="0" borderId="17" numFmtId="0" xfId="0" applyFont="1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 vertical="center"/>
    </xf>
    <xf fontId="0" fillId="0" borderId="13" numFmtId="0" xfId="0" applyBorder="1" applyAlignment="1">
      <alignment horizontal="center" vertical="center"/>
    </xf>
    <xf fontId="10" fillId="0" borderId="12" numFmtId="0" xfId="0" applyFont="1" applyBorder="1"/>
    <xf fontId="13" fillId="4" borderId="12" numFmtId="0" xfId="0" applyFont="1" applyFill="1" applyBorder="1"/>
    <xf fontId="13" fillId="8" borderId="12" numFmtId="0" xfId="0" applyFont="1" applyFill="1" applyBorder="1"/>
    <xf fontId="13" fillId="0" borderId="17" numFmtId="0" xfId="0" applyFont="1" applyBorder="1"/>
    <xf fontId="12" fillId="0" borderId="17" numFmtId="2" xfId="0" applyNumberFormat="1" applyFont="1" applyBorder="1"/>
    <xf fontId="12" fillId="0" borderId="13" numFmtId="165" xfId="0" applyNumberFormat="1" applyFont="1" applyBorder="1"/>
    <xf fontId="0" fillId="0" borderId="0" numFmtId="2" xfId="0" applyNumberFormat="1">
      <protection hidden="0" locked="1"/>
    </xf>
    <xf fontId="13" fillId="9" borderId="12" numFmtId="0" xfId="0" applyFont="1" applyFill="1" applyBorder="1"/>
    <xf fontId="10" fillId="0" borderId="7" numFmtId="0" xfId="0" applyFont="1" applyBorder="1"/>
    <xf fontId="13" fillId="9" borderId="7" numFmtId="0" xfId="0" applyFont="1" applyFill="1" applyBorder="1"/>
    <xf fontId="13" fillId="4" borderId="7" numFmtId="0" xfId="0" applyFont="1" applyFill="1" applyBorder="1"/>
    <xf fontId="13" fillId="0" borderId="11" numFmtId="0" xfId="0" applyFont="1" applyBorder="1"/>
    <xf fontId="12" fillId="0" borderId="11" numFmtId="2" xfId="0" applyNumberFormat="1" applyFont="1" applyBorder="1"/>
    <xf fontId="0" fillId="0" borderId="8" numFmtId="2" xfId="0" applyNumberFormat="1" applyBorder="1"/>
    <xf fontId="0" fillId="0" borderId="0" numFmtId="0" xfId="0" quotePrefix="1"/>
    <xf fontId="0" fillId="0" borderId="0" numFmtId="0" xfId="0"/>
    <xf fontId="1" fillId="3" borderId="0" numFmtId="0" xfId="0" applyFont="1" applyFill="1" applyAlignment="1">
      <alignment horizontal="center" vertical="center"/>
    </xf>
    <xf fontId="4" fillId="0" borderId="5" numFmtId="0" xfId="0" applyFont="1" applyBorder="1" applyAlignment="1">
      <alignment horizontal="center"/>
    </xf>
    <xf fontId="0" fillId="0" borderId="14" numFmtId="0" xfId="0" applyBorder="1">
      <protection hidden="0" locked="1"/>
    </xf>
    <xf fontId="0" fillId="0" borderId="5" numFmtId="0" xfId="0" applyBorder="1" applyAlignment="1">
      <alignment horizontal="right"/>
    </xf>
    <xf fontId="0" fillId="0" borderId="6" numFmtId="0" xfId="0" applyBorder="1"/>
    <xf fontId="0" fillId="0" borderId="17" numFmtId="2" xfId="0" applyNumberFormat="1" applyBorder="1"/>
    <xf fontId="0" fillId="0" borderId="17" numFmtId="0" xfId="0" applyBorder="1">
      <protection hidden="0" locked="1"/>
    </xf>
    <xf fontId="0" fillId="0" borderId="0" numFmtId="0" xfId="0"/>
    <xf fontId="0" fillId="0" borderId="12" numFmtId="0" xfId="0" applyBorder="1" applyAlignment="1">
      <alignment horizontal="center" vertical="center"/>
    </xf>
    <xf fontId="0" fillId="0" borderId="11" numFmtId="0" xfId="0" applyBorder="1"/>
    <xf fontId="0" fillId="0" borderId="11" numFmtId="2" xfId="0" applyNumberFormat="1" applyBorder="1"/>
    <xf fontId="0" fillId="0" borderId="6" numFmtId="0" xfId="0" applyBorder="1" quotePrefix="1"/>
    <xf fontId="14" fillId="0" borderId="0" numFmtId="0" xfId="0" applyFont="1"/>
    <xf fontId="10" fillId="0" borderId="10" numFmtId="0" xfId="0" applyFont="1" applyBorder="1"/>
    <xf fontId="11" fillId="0" borderId="10" numFmtId="0" xfId="0" applyFont="1" applyBorder="1"/>
    <xf fontId="10" fillId="0" borderId="10" numFmtId="0" xfId="0" applyFont="1" applyBorder="1" applyAlignment="1">
      <alignment horizontal="left"/>
    </xf>
    <xf fontId="11" fillId="0" borderId="1" numFmtId="0" xfId="0" applyFont="1" applyBorder="1"/>
    <xf fontId="10" fillId="0" borderId="4" numFmtId="0" xfId="0" applyFont="1" applyBorder="1"/>
    <xf fontId="13" fillId="4" borderId="4" numFmtId="0" xfId="0" applyFont="1" applyFill="1" applyBorder="1"/>
    <xf fontId="13" fillId="8" borderId="4" numFmtId="0" xfId="0" applyFont="1" applyFill="1" applyBorder="1"/>
    <xf fontId="13" fillId="0" borderId="14" numFmtId="0" xfId="0" applyFont="1" applyBorder="1"/>
    <xf fontId="12" fillId="0" borderId="0" numFmtId="2" xfId="0" applyNumberFormat="1" applyFont="1"/>
    <xf fontId="12" fillId="0" borderId="0" numFmtId="167" xfId="0" applyNumberFormat="1" applyFont="1"/>
    <xf fontId="12" fillId="0" borderId="13" numFmtId="2" xfId="0" applyNumberFormat="1" applyFont="1" applyBorder="1"/>
    <xf fontId="12" fillId="0" borderId="8" numFmtId="2" xfId="0" applyNumberFormat="1" applyFont="1" applyBorder="1"/>
    <xf fontId="12" fillId="0" borderId="9" numFmtId="2" xfId="0" applyNumberFormat="1" applyFont="1" applyBorder="1"/>
    <xf fontId="2" fillId="0" borderId="0" numFmtId="0" xfId="0" applyFont="1" applyAlignment="1">
      <alignment wrapText="1"/>
    </xf>
    <xf fontId="2" fillId="0" borderId="0" numFmtId="0" xfId="0" applyFont="1" applyAlignment="1">
      <alignment horizontal="center" vertical="top"/>
    </xf>
    <xf fontId="2" fillId="0" borderId="0" numFmtId="0" xfId="0" applyFont="1" applyAlignment="1">
      <alignment horizontal="center" vertical="top" wrapText="1"/>
    </xf>
    <xf fontId="2" fillId="0" borderId="0" numFmtId="0" xfId="0" applyFont="1"/>
    <xf fontId="2" fillId="0" borderId="8" numFmtId="0" xfId="0" applyFont="1" applyBorder="1"/>
    <xf fontId="0" fillId="0" borderId="8" numFmtId="0" xfId="0" applyBorder="1"/>
    <xf fontId="2" fillId="0" borderId="0" numFmtId="2" xfId="0" applyNumberFormat="1" applyFont="1"/>
    <xf fontId="0" fillId="0" borderId="12" numFmtId="0" xfId="0" applyBorder="1" applyAlignment="1">
      <alignment horizontal="left" vertical="center"/>
    </xf>
    <xf fontId="0" fillId="0" borderId="12" numFmtId="0" xfId="0" applyBorder="1" applyAlignment="1">
      <alignment horizontal="left" vertical="center"/>
      <protection hidden="0" locked="1"/>
    </xf>
    <xf fontId="2" fillId="0" borderId="4" numFmtId="0" xfId="0" applyFont="1" applyBorder="1" applyAlignment="1">
      <alignment horizontal="center" vertical="center"/>
    </xf>
    <xf fontId="2" fillId="0" borderId="7" numFmtId="0" xfId="0" applyFont="1" applyBorder="1" applyAlignment="1">
      <alignment horizontal="center" vertical="center"/>
    </xf>
    <xf fontId="2" fillId="0" borderId="11" numFmtId="0" xfId="0" applyFont="1" applyBorder="1" applyAlignment="1">
      <alignment horizontal="center"/>
    </xf>
    <xf fontId="2" fillId="0" borderId="9" numFmtId="0" xfId="0" applyFont="1" applyBorder="1" applyAlignment="1">
      <alignment horizontal="center"/>
    </xf>
    <xf fontId="2" fillId="0" borderId="8" numFmtId="0" xfId="0" applyFont="1" applyBorder="1" applyAlignment="1">
      <alignment horizontal="center"/>
    </xf>
    <xf fontId="15" fillId="8" borderId="17" numFmtId="0" xfId="0" applyFont="1" applyFill="1" applyBorder="1" applyAlignment="1">
      <alignment horizontal="center"/>
    </xf>
    <xf fontId="15" fillId="8" borderId="13" numFmtId="0" xfId="0" applyFont="1" applyFill="1" applyBorder="1" applyAlignment="1">
      <alignment horizontal="center"/>
    </xf>
    <xf fontId="15" fillId="8" borderId="0" numFmtId="0" xfId="0" applyFont="1" applyFill="1" applyAlignment="1">
      <alignment horizontal="center"/>
    </xf>
    <xf fontId="15" fillId="8" borderId="14" numFmtId="0" xfId="0" applyFont="1" applyFill="1" applyBorder="1" applyAlignment="1">
      <alignment horizontal="center"/>
    </xf>
    <xf fontId="15" fillId="8" borderId="6" numFmtId="0" xfId="0" applyFont="1" applyFill="1" applyBorder="1" applyAlignment="1">
      <alignment horizontal="center"/>
    </xf>
    <xf fontId="16" fillId="5" borderId="17" numFmtId="0" xfId="0" applyFont="1" applyFill="1" applyBorder="1" applyAlignment="1">
      <alignment horizontal="center"/>
    </xf>
    <xf fontId="16" fillId="5" borderId="13" numFmtId="0" xfId="0" applyFont="1" applyFill="1" applyBorder="1" applyAlignment="1">
      <alignment horizontal="center"/>
    </xf>
    <xf fontId="16" fillId="5" borderId="0" numFmtId="0" xfId="0" applyFont="1" applyFill="1" applyAlignment="1">
      <alignment horizontal="center"/>
    </xf>
    <xf fontId="15" fillId="4" borderId="17" numFmtId="0" xfId="0" applyFont="1" applyFill="1" applyBorder="1" applyAlignment="1">
      <alignment horizontal="center"/>
    </xf>
    <xf fontId="15" fillId="4" borderId="13" numFmtId="0" xfId="0" applyFont="1" applyFill="1" applyBorder="1" applyAlignment="1">
      <alignment horizontal="center"/>
    </xf>
    <xf fontId="15" fillId="4" borderId="0" numFmtId="0" xfId="0" applyFont="1" applyFill="1" applyAlignment="1">
      <alignment horizontal="center"/>
    </xf>
    <xf fontId="16" fillId="8" borderId="17" numFmtId="0" xfId="0" applyFont="1" applyFill="1" applyBorder="1" applyAlignment="1">
      <alignment horizontal="center"/>
    </xf>
    <xf fontId="16" fillId="8" borderId="13" numFmtId="0" xfId="0" applyFont="1" applyFill="1" applyBorder="1" applyAlignment="1">
      <alignment horizontal="center"/>
    </xf>
    <xf fontId="15" fillId="8" borderId="11" numFmtId="0" xfId="0" applyFont="1" applyFill="1" applyBorder="1" applyAlignment="1">
      <alignment horizontal="center"/>
    </xf>
    <xf fontId="15" fillId="8" borderId="9" numFmtId="0" xfId="0" applyFont="1" applyFill="1" applyBorder="1" applyAlignment="1">
      <alignment horizontal="center"/>
    </xf>
    <xf fontId="15" fillId="8" borderId="8" numFmtId="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info.skat.dk/data.aspx?oid=2061646" TargetMode="External"/><Relationship  Id="rId2" Type="http://schemas.openxmlformats.org/officeDocument/2006/relationships/hyperlink" Target="https://skm.dk/tal-og-metode/satser/satser-og-beloebsgraenser-i-lovgivningen/elafgiftsloven" TargetMode="External"/><Relationship  Id="rId3" Type="http://schemas.openxmlformats.org/officeDocument/2006/relationships/hyperlink" Target="https://skm.dk/tal-og-metode/satser/satser-og-beloebsgraenser-i-lovgivningen/kulafgiftsloven" TargetMode="External"/><Relationship  Id="rId4" Type="http://schemas.openxmlformats.org/officeDocument/2006/relationships/hyperlink" Target="https://skm.dk/tal-og-metode/satser/satser-og-beloebsgraenser-i-lovgivningen/gasafgiftsloven" TargetMode="External"/><Relationship  Id="rId5" Type="http://schemas.openxmlformats.org/officeDocument/2006/relationships/hyperlink" Target="https://skm.dk/tal-og-metode/satser/satser-og-beloebsgraenser-i-lovgivningen/mineralolieafgiftsloven" TargetMode="External"/><Relationship  Id="rId6" Type="http://schemas.openxmlformats.org/officeDocument/2006/relationships/hyperlink" Target="https://skm.dk/tal-og-metode/satser/satser-og-beloebsgraenser-i-lovgivningen/co2-afgiftsloven" TargetMode="External"/><Relationship  Id="rId7" Type="http://schemas.openxmlformats.org/officeDocument/2006/relationships/hyperlink" Target="https://skm.dk/tal-og-metode/satser/satser-og-beloebsgraenser-i-lovgivningen/emissionsafgiftslov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topLeftCell="A81" zoomScale="100" workbookViewId="0">
      <selection activeCell="A1" activeCellId="0" sqref="A1"/>
    </sheetView>
  </sheetViews>
  <sheetFormatPr defaultRowHeight="14.25"/>
  <cols>
    <col customWidth="1" min="2" max="2" width="36.421875"/>
    <col customWidth="1" min="3" max="3" width="15.7109375"/>
    <col customWidth="1" min="4" max="4" width="12.7109375"/>
    <col customWidth="1" min="5" max="5" width="58.7109375"/>
    <col customWidth="1" min="6" max="9" width="12.7109375"/>
    <col customWidth="1" min="11" max="13" width="10.7109375"/>
  </cols>
  <sheetData>
    <row r="2" s="1" customFormat="1" ht="14.25">
      <c r="B2" s="2" t="s">
        <v>0</v>
      </c>
      <c r="C2" s="2"/>
      <c r="D2" s="2"/>
      <c r="E2" s="2"/>
    </row>
    <row r="4" ht="14.25">
      <c r="C4" s="3" t="s">
        <v>1</v>
      </c>
      <c r="D4" s="4" t="s">
        <v>2</v>
      </c>
      <c r="E4" s="5" t="s">
        <v>3</v>
      </c>
    </row>
    <row r="5" ht="14.25">
      <c r="B5" s="6" t="s">
        <v>4</v>
      </c>
      <c r="C5" s="7">
        <v>3.6000000000000001</v>
      </c>
      <c r="D5" s="8" t="s">
        <v>5</v>
      </c>
      <c r="E5" s="9"/>
    </row>
    <row r="6" ht="14.25">
      <c r="B6" s="10"/>
      <c r="C6" s="11">
        <f>1/C5</f>
        <v>0.27777777777777779</v>
      </c>
      <c r="D6" s="12" t="s">
        <v>6</v>
      </c>
      <c r="E6" s="13"/>
    </row>
    <row r="7" ht="14.25">
      <c r="B7" s="6" t="s">
        <v>7</v>
      </c>
      <c r="C7" s="7">
        <v>0.13400000000000001</v>
      </c>
      <c r="D7" s="8" t="s">
        <v>8</v>
      </c>
      <c r="E7" s="9"/>
    </row>
    <row r="8" ht="14.25">
      <c r="B8" s="10"/>
      <c r="C8" s="11">
        <v>7.4634</v>
      </c>
      <c r="D8" s="12" t="s">
        <v>9</v>
      </c>
      <c r="E8" s="13"/>
    </row>
    <row r="9" ht="14.25">
      <c r="B9" s="14" t="s">
        <v>10</v>
      </c>
      <c r="C9" s="15">
        <v>0.59999999999999998</v>
      </c>
      <c r="D9" s="16" t="s">
        <v>11</v>
      </c>
      <c r="E9" s="17" t="s">
        <v>12</v>
      </c>
    </row>
    <row r="10" ht="14.25">
      <c r="B10" s="18" t="s">
        <v>13</v>
      </c>
      <c r="C10" s="19">
        <f>1/1.2</f>
        <v>0.83333333333333337</v>
      </c>
      <c r="D10" s="20" t="s">
        <v>14</v>
      </c>
      <c r="E10" s="21" t="s">
        <v>15</v>
      </c>
    </row>
    <row r="11" ht="14.25">
      <c r="B11" s="22"/>
      <c r="C11" s="23"/>
      <c r="D11" s="22"/>
    </row>
    <row r="12" ht="14.25">
      <c r="C12" s="22"/>
    </row>
    <row r="13" s="24" customFormat="1" ht="14.25">
      <c r="A13" s="24"/>
      <c r="B13" s="2" t="s">
        <v>16</v>
      </c>
      <c r="C13" s="2"/>
      <c r="D13" s="2"/>
      <c r="E13" s="2"/>
    </row>
    <row r="15" ht="14.25">
      <c r="B15" s="25" t="s">
        <v>17</v>
      </c>
      <c r="C15" s="26" t="s">
        <v>1</v>
      </c>
      <c r="D15" s="27" t="s">
        <v>18</v>
      </c>
      <c r="E15" s="5" t="s">
        <v>19</v>
      </c>
    </row>
    <row r="16" ht="14.25">
      <c r="B16" s="28" t="s">
        <v>20</v>
      </c>
      <c r="C16" s="29">
        <v>0.038030000000000001</v>
      </c>
      <c r="D16" s="30" t="s">
        <v>21</v>
      </c>
      <c r="E16" s="31"/>
    </row>
    <row r="17" ht="14.25">
      <c r="B17" s="32" t="s">
        <v>22</v>
      </c>
      <c r="C17" s="33">
        <v>0.001</v>
      </c>
      <c r="D17" s="30" t="s">
        <v>23</v>
      </c>
      <c r="E17" s="34"/>
    </row>
    <row r="18" ht="14.25">
      <c r="B18" s="32" t="s">
        <v>24</v>
      </c>
      <c r="C18" s="33">
        <v>1</v>
      </c>
      <c r="D18" s="30" t="s">
        <v>25</v>
      </c>
      <c r="E18" s="35"/>
    </row>
    <row r="19" ht="14.25">
      <c r="B19" s="32" t="s">
        <v>26</v>
      </c>
      <c r="C19" s="36">
        <v>35.899999999999999</v>
      </c>
      <c r="D19" s="37" t="s">
        <v>21</v>
      </c>
      <c r="E19" s="38" t="s">
        <v>27</v>
      </c>
    </row>
    <row r="20" ht="14.25">
      <c r="B20" s="32" t="s">
        <v>28</v>
      </c>
      <c r="C20" s="36">
        <v>11.699999999999999</v>
      </c>
      <c r="D20" s="37" t="s">
        <v>29</v>
      </c>
      <c r="E20" s="35"/>
    </row>
    <row r="21" ht="14.25">
      <c r="B21" s="32" t="s">
        <v>30</v>
      </c>
      <c r="C21" s="36">
        <v>0.038030000000000001</v>
      </c>
      <c r="D21" s="37" t="s">
        <v>21</v>
      </c>
      <c r="E21" s="34"/>
    </row>
    <row r="22" ht="14.25">
      <c r="B22" s="32" t="s">
        <v>31</v>
      </c>
      <c r="C22" s="36">
        <v>10.4</v>
      </c>
      <c r="D22" s="37" t="s">
        <v>29</v>
      </c>
      <c r="E22" s="34"/>
    </row>
    <row r="23" ht="14.25">
      <c r="B23" s="39" t="s">
        <v>32</v>
      </c>
      <c r="C23" s="40">
        <v>17.5</v>
      </c>
      <c r="D23" s="41" t="s">
        <v>29</v>
      </c>
      <c r="E23" s="42"/>
    </row>
    <row r="24" ht="14.25">
      <c r="B24" s="43" t="s">
        <v>33</v>
      </c>
    </row>
    <row r="25" ht="14.25">
      <c r="B25" s="43"/>
    </row>
    <row r="26" s="1" customFormat="1" ht="14.25">
      <c r="A26" s="24"/>
      <c r="B26" s="2" t="s">
        <v>34</v>
      </c>
      <c r="C26" s="2"/>
      <c r="D26" s="2"/>
      <c r="E26" s="2"/>
      <c r="G26" s="1"/>
    </row>
    <row r="27" ht="14.25">
      <c r="A27" s="44"/>
      <c r="B27" s="45"/>
      <c r="C27" s="45"/>
      <c r="D27" s="45"/>
      <c r="E27" s="45"/>
    </row>
    <row r="28" ht="14.25">
      <c r="A28" s="34"/>
      <c r="B28" s="25" t="s">
        <v>17</v>
      </c>
      <c r="C28" s="26" t="s">
        <v>1</v>
      </c>
      <c r="D28" s="27" t="s">
        <v>18</v>
      </c>
      <c r="E28" s="5" t="s">
        <v>19</v>
      </c>
    </row>
    <row r="29" ht="14.25">
      <c r="A29" s="34"/>
      <c r="B29" s="28" t="s">
        <v>20</v>
      </c>
      <c r="C29" s="46">
        <v>0</v>
      </c>
      <c r="D29" s="37" t="s">
        <v>35</v>
      </c>
      <c r="E29" s="31"/>
    </row>
    <row r="30" ht="14.25">
      <c r="A30" s="34"/>
      <c r="B30" s="32" t="s">
        <v>22</v>
      </c>
      <c r="C30" s="30" t="s">
        <v>36</v>
      </c>
      <c r="D30" s="37" t="s">
        <v>35</v>
      </c>
      <c r="E30" s="34"/>
    </row>
    <row r="31" ht="14.25">
      <c r="A31" s="34"/>
      <c r="B31" s="32" t="s">
        <v>24</v>
      </c>
      <c r="C31" s="47">
        <v>0</v>
      </c>
      <c r="D31" s="37" t="s">
        <v>35</v>
      </c>
      <c r="E31" s="48" t="s">
        <v>37</v>
      </c>
    </row>
    <row r="32" ht="14.25">
      <c r="A32" s="34"/>
      <c r="B32" s="32" t="s">
        <v>26</v>
      </c>
      <c r="C32" s="46">
        <v>74.099999999999994</v>
      </c>
      <c r="D32" s="37" t="s">
        <v>35</v>
      </c>
      <c r="E32" s="49"/>
    </row>
    <row r="33" ht="14.25">
      <c r="A33" s="34"/>
      <c r="B33" s="32" t="s">
        <v>28</v>
      </c>
      <c r="C33" s="50">
        <v>37</v>
      </c>
      <c r="D33" s="51" t="s">
        <v>35</v>
      </c>
      <c r="E33" s="52" t="s">
        <v>38</v>
      </c>
    </row>
    <row r="34" ht="14.25">
      <c r="A34" s="34"/>
      <c r="B34" s="32" t="s">
        <v>30</v>
      </c>
      <c r="C34" s="46">
        <v>57.100000000000001</v>
      </c>
      <c r="D34" s="37" t="s">
        <v>35</v>
      </c>
      <c r="E34" s="34"/>
    </row>
    <row r="35" ht="14.25">
      <c r="A35" s="34"/>
      <c r="B35" s="32" t="s">
        <v>31</v>
      </c>
      <c r="C35" s="46">
        <v>0</v>
      </c>
      <c r="D35" s="37" t="s">
        <v>35</v>
      </c>
      <c r="E35" s="34"/>
    </row>
    <row r="36" ht="14.25">
      <c r="A36" s="34"/>
      <c r="B36" s="39" t="s">
        <v>32</v>
      </c>
      <c r="C36" s="53">
        <v>0</v>
      </c>
      <c r="D36" s="41" t="s">
        <v>35</v>
      </c>
      <c r="E36" s="42"/>
    </row>
    <row r="37" ht="14.25">
      <c r="A37" s="44"/>
      <c r="B37" s="43" t="s">
        <v>39</v>
      </c>
      <c r="C37" s="44"/>
      <c r="D37" s="44"/>
      <c r="E37" s="44"/>
    </row>
    <row r="39" s="1" customFormat="1" ht="14.25">
      <c r="B39" s="2" t="s">
        <v>40</v>
      </c>
      <c r="C39" s="2"/>
      <c r="D39" s="2"/>
      <c r="E39" s="2"/>
      <c r="G39" s="1"/>
    </row>
    <row r="40" ht="14.25">
      <c r="J40" s="54"/>
      <c r="K40" s="54"/>
      <c r="L40" s="54"/>
      <c r="M40" s="54"/>
    </row>
    <row r="41" ht="14.25">
      <c r="B41" s="25" t="s">
        <v>17</v>
      </c>
      <c r="C41" s="27" t="s">
        <v>41</v>
      </c>
      <c r="D41" s="27" t="s">
        <v>18</v>
      </c>
      <c r="E41" s="5" t="s">
        <v>19</v>
      </c>
      <c r="G41" s="55" t="s">
        <v>41</v>
      </c>
      <c r="H41" s="56" t="s">
        <v>18</v>
      </c>
      <c r="J41" s="57"/>
      <c r="K41" s="58" t="s">
        <v>42</v>
      </c>
      <c r="L41" s="59" t="s">
        <v>43</v>
      </c>
      <c r="M41" s="60"/>
    </row>
    <row r="42" ht="14.25">
      <c r="B42" s="32" t="s">
        <v>20</v>
      </c>
      <c r="C42" s="61">
        <v>0.098000000000000004</v>
      </c>
      <c r="D42" s="37" t="s">
        <v>44</v>
      </c>
      <c r="E42" s="35"/>
      <c r="G42" s="62">
        <f>IFERROR(C42*(1/C16)*$C$5*$C$7,"-")</f>
        <v>1.2431028135682358</v>
      </c>
      <c r="H42" s="63" t="s">
        <v>45</v>
      </c>
      <c r="J42" s="64"/>
      <c r="K42" s="65" t="s">
        <v>46</v>
      </c>
      <c r="L42" s="66" t="s">
        <v>46</v>
      </c>
      <c r="M42" s="67" t="s">
        <v>22</v>
      </c>
    </row>
    <row r="43" ht="14.25">
      <c r="B43" s="32" t="s">
        <v>22</v>
      </c>
      <c r="C43" s="61">
        <v>0.0040000000000000001</v>
      </c>
      <c r="D43" s="37" t="s">
        <v>47</v>
      </c>
      <c r="E43" s="35"/>
      <c r="G43" s="62">
        <f>IFERROR(C43*(1/C17)*$C$7,"-")</f>
        <v>0.53600000000000003</v>
      </c>
      <c r="H43" s="63" t="s">
        <v>45</v>
      </c>
      <c r="J43" s="58" t="s">
        <v>48</v>
      </c>
      <c r="K43" s="68" t="s">
        <v>49</v>
      </c>
      <c r="L43" s="68" t="s">
        <v>49</v>
      </c>
      <c r="M43" s="69" t="s">
        <v>50</v>
      </c>
    </row>
    <row r="44" ht="14.25">
      <c r="B44" s="32" t="s">
        <v>24</v>
      </c>
      <c r="C44" s="61">
        <v>0</v>
      </c>
      <c r="D44" s="37" t="s">
        <v>51</v>
      </c>
      <c r="E44" s="48" t="s">
        <v>52</v>
      </c>
      <c r="G44" s="62">
        <f t="shared" ref="G44:G45" si="0">IFERROR(C44*(1/C18)*$C$5*$C$7,"-")</f>
        <v>0</v>
      </c>
      <c r="H44" s="63" t="s">
        <v>45</v>
      </c>
      <c r="J44" s="70" t="s">
        <v>53</v>
      </c>
      <c r="K44" s="71" t="s">
        <v>49</v>
      </c>
      <c r="L44" s="71" t="s">
        <v>49</v>
      </c>
      <c r="M44" s="72" t="s">
        <v>50</v>
      </c>
    </row>
    <row r="45" ht="14.25">
      <c r="B45" s="32" t="s">
        <v>26</v>
      </c>
      <c r="C45" s="61">
        <v>1234</v>
      </c>
      <c r="D45" s="37" t="s">
        <v>44</v>
      </c>
      <c r="E45" s="35"/>
      <c r="G45" s="62">
        <f t="shared" si="0"/>
        <v>16.581660167130924</v>
      </c>
      <c r="H45" s="63" t="s">
        <v>45</v>
      </c>
      <c r="J45" s="73" t="s">
        <v>54</v>
      </c>
      <c r="K45" s="54"/>
      <c r="L45" s="54"/>
      <c r="M45" s="54"/>
    </row>
    <row r="46" ht="14.25">
      <c r="B46" s="74" t="s">
        <v>55</v>
      </c>
      <c r="C46" s="61">
        <v>28.800000000000001</v>
      </c>
      <c r="D46" s="37" t="s">
        <v>51</v>
      </c>
      <c r="E46" s="75" t="s">
        <v>56</v>
      </c>
      <c r="G46" s="62">
        <f>IFERROR(C46*$C$5*$C$7*(1-$C$9),"-")</f>
        <v>5.5572480000000013</v>
      </c>
      <c r="H46" s="76" t="s">
        <v>57</v>
      </c>
      <c r="L46" s="77"/>
    </row>
    <row r="47" ht="14.25">
      <c r="B47" s="74" t="s">
        <v>58</v>
      </c>
      <c r="C47" s="61">
        <v>14.5</v>
      </c>
      <c r="D47" s="37" t="s">
        <v>51</v>
      </c>
      <c r="E47" s="75" t="s">
        <v>59</v>
      </c>
      <c r="G47" s="62">
        <f>C47*$C$5*$C$7*(1-$C$9)</f>
        <v>2.7979200000000004</v>
      </c>
      <c r="H47" s="63" t="s">
        <v>45</v>
      </c>
      <c r="J47" s="28"/>
      <c r="K47" s="78" t="s">
        <v>42</v>
      </c>
      <c r="L47" s="79" t="s">
        <v>43</v>
      </c>
      <c r="M47" s="80"/>
    </row>
    <row r="48" ht="14.25">
      <c r="B48" s="32" t="s">
        <v>30</v>
      </c>
      <c r="C48" s="61">
        <v>1.369</v>
      </c>
      <c r="D48" s="37" t="s">
        <v>44</v>
      </c>
      <c r="E48" s="35"/>
      <c r="G48" s="62">
        <f t="shared" ref="G48:G50" si="1">IFERROR(C48*(1/C21)*$C$5*$C$7,"-")</f>
        <v>17.365385222193005</v>
      </c>
      <c r="H48" s="63" t="s">
        <v>45</v>
      </c>
      <c r="J48" s="39"/>
      <c r="K48" s="81" t="s">
        <v>46</v>
      </c>
      <c r="L48" s="66" t="s">
        <v>46</v>
      </c>
      <c r="M48" s="67" t="s">
        <v>22</v>
      </c>
    </row>
    <row r="49" ht="14.25">
      <c r="B49" s="32" t="s">
        <v>31</v>
      </c>
      <c r="C49" s="61">
        <v>0</v>
      </c>
      <c r="D49" s="37" t="s">
        <v>60</v>
      </c>
      <c r="E49" s="35"/>
      <c r="G49" s="62">
        <f t="shared" si="1"/>
        <v>0</v>
      </c>
      <c r="H49" s="63" t="s">
        <v>45</v>
      </c>
      <c r="J49" s="58" t="s">
        <v>48</v>
      </c>
      <c r="K49" s="82">
        <v>1</v>
      </c>
      <c r="L49" s="82">
        <v>1</v>
      </c>
      <c r="M49" s="83">
        <v>0</v>
      </c>
    </row>
    <row r="50" ht="14.25">
      <c r="B50" s="39" t="s">
        <v>32</v>
      </c>
      <c r="C50" s="84">
        <v>0</v>
      </c>
      <c r="D50" s="41" t="s">
        <v>60</v>
      </c>
      <c r="E50" s="85"/>
      <c r="G50" s="86">
        <f t="shared" si="1"/>
        <v>0</v>
      </c>
      <c r="H50" s="87" t="s">
        <v>45</v>
      </c>
      <c r="J50" s="70" t="s">
        <v>53</v>
      </c>
      <c r="K50" s="88">
        <v>1</v>
      </c>
      <c r="L50" s="88">
        <v>1</v>
      </c>
      <c r="M50" s="89">
        <v>0</v>
      </c>
    </row>
    <row r="51" ht="14.25" hidden="1">
      <c r="B51" s="73" t="s">
        <v>61</v>
      </c>
      <c r="C51" s="22"/>
      <c r="D51" s="37"/>
      <c r="E51" s="22"/>
      <c r="J51" s="73" t="s">
        <v>62</v>
      </c>
    </row>
    <row r="52" ht="14.25" hidden="1">
      <c r="B52" s="73" t="s">
        <v>63</v>
      </c>
      <c r="D52" s="37"/>
    </row>
    <row r="53" ht="14.25" hidden="1">
      <c r="B53" s="90" t="s">
        <v>64</v>
      </c>
      <c r="C53" s="91" t="s">
        <v>22</v>
      </c>
      <c r="D53" s="37"/>
    </row>
    <row r="54" ht="14.25" hidden="1">
      <c r="B54" s="90" t="s">
        <v>65</v>
      </c>
      <c r="C54" s="91" t="s">
        <v>66</v>
      </c>
      <c r="D54" s="37"/>
    </row>
    <row r="55" ht="14.25" hidden="1">
      <c r="B55" s="90" t="s">
        <v>67</v>
      </c>
      <c r="C55" s="91" t="s">
        <v>68</v>
      </c>
      <c r="D55" s="37"/>
    </row>
    <row r="56" ht="14.25" hidden="1">
      <c r="B56" s="90" t="s">
        <v>69</v>
      </c>
      <c r="C56" s="91" t="s">
        <v>70</v>
      </c>
      <c r="D56" s="37"/>
    </row>
    <row r="57" ht="14.25" hidden="1">
      <c r="B57"/>
      <c r="C57" s="92"/>
      <c r="D57" s="37"/>
      <c r="E57" s="92"/>
    </row>
    <row r="58" ht="14.25" hidden="1">
      <c r="B58" s="93"/>
      <c r="C58" s="22"/>
      <c r="D58" s="37"/>
      <c r="E58" s="22"/>
    </row>
    <row r="59" s="1" customFormat="1" ht="14.25">
      <c r="B59" s="2" t="s">
        <v>71</v>
      </c>
      <c r="C59" s="2"/>
      <c r="D59" s="2"/>
      <c r="E59" s="2"/>
      <c r="G59" s="1"/>
      <c r="H59" s="1"/>
      <c r="I59" s="1"/>
      <c r="J59" s="1"/>
      <c r="K59" s="1"/>
    </row>
    <row r="61" ht="14.25">
      <c r="B61" s="94" t="s">
        <v>17</v>
      </c>
      <c r="C61" s="27" t="s">
        <v>41</v>
      </c>
      <c r="D61" s="27" t="s">
        <v>18</v>
      </c>
      <c r="E61" s="5" t="s">
        <v>19</v>
      </c>
      <c r="G61" s="55" t="s">
        <v>41</v>
      </c>
      <c r="H61" s="56" t="s">
        <v>18</v>
      </c>
      <c r="J61" s="28"/>
      <c r="K61" s="78" t="s">
        <v>42</v>
      </c>
      <c r="L61" s="79" t="s">
        <v>43</v>
      </c>
      <c r="M61" s="80"/>
    </row>
    <row r="62" ht="14.25">
      <c r="B62" s="64" t="s">
        <v>20</v>
      </c>
      <c r="C62" s="95">
        <v>0</v>
      </c>
      <c r="D62" s="37" t="s">
        <v>44</v>
      </c>
      <c r="E62" s="34"/>
      <c r="G62" s="62">
        <f>IFERROR(C62*(1/C16)*$C$5*$C$7,"-")</f>
        <v>0</v>
      </c>
      <c r="H62" s="63" t="s">
        <v>45</v>
      </c>
      <c r="J62" s="39"/>
      <c r="K62" s="81" t="s">
        <v>46</v>
      </c>
      <c r="L62" s="66" t="s">
        <v>46</v>
      </c>
      <c r="M62" s="67" t="s">
        <v>22</v>
      </c>
    </row>
    <row r="63" ht="14.25">
      <c r="B63" s="64" t="s">
        <v>22</v>
      </c>
      <c r="C63" s="96" t="s">
        <v>11</v>
      </c>
      <c r="D63" s="96" t="s">
        <v>11</v>
      </c>
      <c r="E63" s="34"/>
      <c r="G63" s="97" t="s">
        <v>11</v>
      </c>
      <c r="H63" s="98" t="s">
        <v>11</v>
      </c>
      <c r="J63" s="58" t="s">
        <v>48</v>
      </c>
      <c r="K63" s="99" t="s">
        <v>49</v>
      </c>
      <c r="L63" s="99" t="s">
        <v>49</v>
      </c>
      <c r="M63" s="100" t="s">
        <v>50</v>
      </c>
    </row>
    <row r="64" ht="14.25">
      <c r="B64" s="64" t="s">
        <v>24</v>
      </c>
      <c r="C64" s="96" t="s">
        <v>11</v>
      </c>
      <c r="D64" s="96" t="s">
        <v>11</v>
      </c>
      <c r="E64" s="35"/>
      <c r="G64" s="97" t="s">
        <v>11</v>
      </c>
      <c r="H64" s="98" t="s">
        <v>11</v>
      </c>
      <c r="J64" s="70" t="s">
        <v>53</v>
      </c>
      <c r="K64" s="71" t="s">
        <v>49</v>
      </c>
      <c r="L64" s="71" t="s">
        <v>49</v>
      </c>
      <c r="M64" s="71" t="s">
        <v>49</v>
      </c>
    </row>
    <row r="65" ht="14.25">
      <c r="B65" s="64" t="s">
        <v>26</v>
      </c>
      <c r="C65" s="95">
        <v>2248</v>
      </c>
      <c r="D65" s="37" t="s">
        <v>44</v>
      </c>
      <c r="E65" s="34"/>
      <c r="G65" s="62">
        <f>IFERROR(C65*(1/C19)*$C$5*$C$7,"-")</f>
        <v>30.207108635097498</v>
      </c>
      <c r="H65" s="63" t="s">
        <v>45</v>
      </c>
      <c r="J65" s="73" t="s">
        <v>54</v>
      </c>
    </row>
    <row r="66" ht="14.25">
      <c r="B66" s="64" t="s">
        <v>28</v>
      </c>
      <c r="C66" s="95">
        <v>851.79999999999995</v>
      </c>
      <c r="D66" s="101" t="s">
        <v>72</v>
      </c>
      <c r="E66" s="75" t="s">
        <v>73</v>
      </c>
      <c r="G66" s="62">
        <f>C66*C7</f>
        <v>114.1412</v>
      </c>
      <c r="H66" s="98" t="s">
        <v>74</v>
      </c>
    </row>
    <row r="67" ht="14.25">
      <c r="B67" s="64" t="s">
        <v>30</v>
      </c>
      <c r="C67" s="95">
        <v>1.9219999999999999</v>
      </c>
      <c r="D67" s="37" t="s">
        <v>44</v>
      </c>
      <c r="E67" s="34"/>
      <c r="G67" s="62">
        <f>IFERROR(C67*(1/C21)*$C$5*$C$7,"-")</f>
        <v>24.380036813042331</v>
      </c>
      <c r="H67" s="63" t="s">
        <v>45</v>
      </c>
      <c r="J67" s="28"/>
      <c r="K67" s="78" t="s">
        <v>42</v>
      </c>
      <c r="L67" s="79" t="s">
        <v>43</v>
      </c>
      <c r="M67" s="80"/>
    </row>
    <row r="68" ht="14.25">
      <c r="B68" s="64" t="s">
        <v>31</v>
      </c>
      <c r="C68" s="102" t="s">
        <v>11</v>
      </c>
      <c r="D68" s="101" t="s">
        <v>11</v>
      </c>
      <c r="E68" s="34"/>
      <c r="G68" s="97" t="s">
        <v>11</v>
      </c>
      <c r="H68" s="98" t="s">
        <v>11</v>
      </c>
      <c r="J68" s="39"/>
      <c r="K68" s="81" t="s">
        <v>46</v>
      </c>
      <c r="L68" s="66" t="s">
        <v>46</v>
      </c>
      <c r="M68" s="67" t="s">
        <v>22</v>
      </c>
    </row>
    <row r="69" ht="14.25">
      <c r="B69" s="103" t="s">
        <v>32</v>
      </c>
      <c r="C69" s="104" t="s">
        <v>11</v>
      </c>
      <c r="D69" s="105" t="s">
        <v>11</v>
      </c>
      <c r="E69" s="42"/>
      <c r="G69" s="106" t="s">
        <v>11</v>
      </c>
      <c r="H69" s="107" t="s">
        <v>11</v>
      </c>
      <c r="J69" s="58" t="s">
        <v>48</v>
      </c>
      <c r="K69" s="108">
        <v>0.90000000000000002</v>
      </c>
      <c r="L69" s="108">
        <v>0.90000000000000002</v>
      </c>
      <c r="M69" s="83">
        <v>0</v>
      </c>
    </row>
    <row r="70" ht="14.25">
      <c r="B70" s="73" t="s">
        <v>75</v>
      </c>
      <c r="C70" s="95"/>
      <c r="D70" s="30"/>
      <c r="E70" s="44"/>
      <c r="G70" s="109"/>
      <c r="H70" s="92"/>
      <c r="J70" s="70" t="s">
        <v>53</v>
      </c>
      <c r="K70" s="88">
        <v>1</v>
      </c>
      <c r="L70" s="88">
        <v>1</v>
      </c>
      <c r="M70" s="88">
        <v>1</v>
      </c>
    </row>
    <row r="71" ht="14.25" hidden="1">
      <c r="B71" s="90" t="s">
        <v>76</v>
      </c>
      <c r="C71" s="95"/>
      <c r="D71" s="30"/>
      <c r="E71" s="44"/>
      <c r="G71" s="109"/>
      <c r="H71" s="92"/>
      <c r="J71" s="73" t="s">
        <v>62</v>
      </c>
    </row>
    <row r="72" ht="14.25" hidden="1">
      <c r="B72" s="93"/>
      <c r="C72" s="95"/>
      <c r="D72" s="30"/>
      <c r="E72" s="44"/>
      <c r="G72" s="109"/>
      <c r="H72" s="92"/>
    </row>
    <row r="73" ht="14.25" hidden="1">
      <c r="B73" s="93"/>
      <c r="C73" s="44"/>
      <c r="D73" s="30"/>
      <c r="E73" s="44"/>
    </row>
    <row r="74" s="1" customFormat="1" ht="14.25">
      <c r="B74" s="2" t="s">
        <v>77</v>
      </c>
      <c r="C74" s="2"/>
      <c r="D74" s="2"/>
      <c r="E74" s="2"/>
      <c r="G74" s="1"/>
      <c r="H74" s="1"/>
    </row>
    <row r="75" ht="14.25">
      <c r="G75"/>
      <c r="H75"/>
    </row>
    <row r="76" ht="14.25">
      <c r="B76" s="94" t="s">
        <v>17</v>
      </c>
      <c r="C76" s="27" t="s">
        <v>41</v>
      </c>
      <c r="D76" s="27" t="s">
        <v>18</v>
      </c>
      <c r="E76" s="5" t="s">
        <v>19</v>
      </c>
      <c r="G76" s="110"/>
      <c r="H76" s="110"/>
      <c r="J76" s="28"/>
      <c r="K76" s="78" t="s">
        <v>42</v>
      </c>
      <c r="L76" s="79" t="s">
        <v>43</v>
      </c>
      <c r="M76" s="80"/>
    </row>
    <row r="77" ht="14.25">
      <c r="B77" s="64" t="s">
        <v>20</v>
      </c>
      <c r="C77" s="44">
        <v>0</v>
      </c>
      <c r="D77" s="30" t="s">
        <v>78</v>
      </c>
      <c r="E77" s="111" t="s">
        <v>79</v>
      </c>
      <c r="G77" s="30"/>
      <c r="H77" s="30"/>
      <c r="J77" s="39"/>
      <c r="K77" s="81" t="s">
        <v>46</v>
      </c>
      <c r="L77" s="66" t="s">
        <v>46</v>
      </c>
      <c r="M77" s="67" t="s">
        <v>22</v>
      </c>
    </row>
    <row r="78" ht="14.25">
      <c r="B78" s="64" t="s">
        <v>22</v>
      </c>
      <c r="C78" s="96" t="s">
        <v>11</v>
      </c>
      <c r="D78" s="96" t="s">
        <v>11</v>
      </c>
      <c r="E78" s="34"/>
      <c r="G78" s="30"/>
      <c r="H78" s="30"/>
      <c r="J78" s="58" t="s">
        <v>48</v>
      </c>
      <c r="K78" s="112" t="s">
        <v>49</v>
      </c>
      <c r="L78" s="112" t="s">
        <v>49</v>
      </c>
      <c r="M78" s="113" t="s">
        <v>49</v>
      </c>
    </row>
    <row r="79" ht="14.25">
      <c r="B79" s="64" t="s">
        <v>24</v>
      </c>
      <c r="C79" s="96" t="s">
        <v>11</v>
      </c>
      <c r="D79" s="96" t="s">
        <v>11</v>
      </c>
      <c r="E79" s="35"/>
      <c r="G79" s="30"/>
      <c r="H79" s="30"/>
      <c r="J79" s="70" t="s">
        <v>53</v>
      </c>
      <c r="K79" s="114" t="s">
        <v>49</v>
      </c>
      <c r="L79" s="114" t="s">
        <v>49</v>
      </c>
      <c r="M79" s="114" t="s">
        <v>49</v>
      </c>
    </row>
    <row r="80" ht="14.25">
      <c r="B80" s="64" t="s">
        <v>26</v>
      </c>
      <c r="C80" s="44">
        <v>85.200000000000003</v>
      </c>
      <c r="D80" s="30" t="s">
        <v>78</v>
      </c>
      <c r="E80" s="34"/>
      <c r="G80" s="30"/>
      <c r="H80" s="30"/>
      <c r="J80" s="73" t="s">
        <v>54</v>
      </c>
      <c r="K80" s="44"/>
      <c r="L80" s="44"/>
      <c r="M80" s="44"/>
    </row>
    <row r="81" ht="14.25">
      <c r="B81" s="64" t="s">
        <v>28</v>
      </c>
      <c r="C81" s="44">
        <v>85.200000000000003</v>
      </c>
      <c r="D81" s="30" t="s">
        <v>78</v>
      </c>
      <c r="E81" s="35"/>
      <c r="G81" s="30"/>
      <c r="H81" s="30"/>
      <c r="J81" s="45"/>
      <c r="K81" s="45"/>
      <c r="L81" s="45"/>
      <c r="M81" s="45"/>
    </row>
    <row r="82" ht="14.25">
      <c r="B82" s="64" t="s">
        <v>30</v>
      </c>
      <c r="C82" s="44">
        <v>85.200000000000003</v>
      </c>
      <c r="D82" s="30" t="s">
        <v>78</v>
      </c>
      <c r="E82" s="34"/>
      <c r="G82" s="30"/>
      <c r="H82" s="30"/>
      <c r="J82" s="28"/>
      <c r="K82" s="78" t="s">
        <v>42</v>
      </c>
      <c r="L82" s="79" t="s">
        <v>43</v>
      </c>
      <c r="M82" s="80"/>
    </row>
    <row r="83" ht="14.25">
      <c r="B83" s="64" t="s">
        <v>31</v>
      </c>
      <c r="C83" s="44">
        <v>85.200000000000003</v>
      </c>
      <c r="D83" s="30" t="s">
        <v>78</v>
      </c>
      <c r="E83" s="34"/>
      <c r="G83" s="30"/>
      <c r="H83" s="30"/>
      <c r="J83" s="39"/>
      <c r="K83" s="81" t="s">
        <v>46</v>
      </c>
      <c r="L83" s="66" t="s">
        <v>46</v>
      </c>
      <c r="M83" s="67" t="s">
        <v>22</v>
      </c>
    </row>
    <row r="84" ht="14.25">
      <c r="B84" s="103" t="s">
        <v>32</v>
      </c>
      <c r="C84" s="45">
        <v>85.200000000000003</v>
      </c>
      <c r="D84" s="115" t="s">
        <v>78</v>
      </c>
      <c r="E84" s="42"/>
      <c r="G84" s="30"/>
      <c r="H84" s="30"/>
      <c r="J84" s="58" t="s">
        <v>48</v>
      </c>
      <c r="K84" s="116">
        <v>1</v>
      </c>
      <c r="L84" s="82">
        <v>1</v>
      </c>
      <c r="M84" s="82">
        <v>1</v>
      </c>
    </row>
    <row r="85" ht="14.25">
      <c r="B85" s="73" t="s">
        <v>75</v>
      </c>
      <c r="J85" s="70" t="s">
        <v>53</v>
      </c>
      <c r="K85" s="88">
        <v>1</v>
      </c>
      <c r="L85" s="88">
        <v>1</v>
      </c>
      <c r="M85" s="88">
        <v>1</v>
      </c>
    </row>
    <row r="86" ht="14.25" hidden="1">
      <c r="B86" s="117" t="s">
        <v>80</v>
      </c>
      <c r="J86" s="73" t="s">
        <v>62</v>
      </c>
      <c r="K86"/>
      <c r="L86"/>
      <c r="M86"/>
    </row>
    <row r="87" ht="14.25" hidden="1"/>
    <row r="88" ht="14.25" hidden="1"/>
    <row r="89" ht="14.25">
      <c r="A89" s="1"/>
      <c r="B89" s="2" t="s">
        <v>81</v>
      </c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</row>
    <row r="92" ht="14.25">
      <c r="B92" s="118" t="s">
        <v>82</v>
      </c>
      <c r="C92" s="119" t="s">
        <v>83</v>
      </c>
      <c r="D92" s="118" t="s">
        <v>48</v>
      </c>
      <c r="E92" s="120" t="s">
        <v>84</v>
      </c>
      <c r="F92" s="121" t="s">
        <v>84</v>
      </c>
      <c r="G92" s="122" t="s">
        <v>85</v>
      </c>
      <c r="H92" s="122" t="s">
        <v>86</v>
      </c>
      <c r="I92" s="123" t="s">
        <v>87</v>
      </c>
      <c r="J92" s="56" t="s">
        <v>48</v>
      </c>
    </row>
    <row r="93" ht="14.25">
      <c r="B93" s="124"/>
      <c r="C93" s="125"/>
      <c r="D93" s="124"/>
      <c r="E93" s="126"/>
      <c r="F93" s="127" t="s">
        <v>88</v>
      </c>
      <c r="G93" s="128" t="s">
        <v>57</v>
      </c>
      <c r="H93" s="128" t="s">
        <v>89</v>
      </c>
      <c r="I93" s="129" t="s">
        <v>90</v>
      </c>
      <c r="J93" s="130" t="s">
        <v>90</v>
      </c>
    </row>
    <row r="94" ht="30">
      <c r="B94" s="131" t="s">
        <v>91</v>
      </c>
      <c r="C94" s="132" t="s">
        <v>92</v>
      </c>
      <c r="D94" s="133" t="b">
        <v>1</v>
      </c>
      <c r="E94" s="134" t="s">
        <v>93</v>
      </c>
      <c r="F94" s="135"/>
      <c r="G94" s="77">
        <f>$C$10*$G$50*$L$49</f>
        <v>0</v>
      </c>
      <c r="H94" s="77"/>
      <c r="I94" s="36">
        <f>$C$84/1000</f>
        <v>0.085199999999999998</v>
      </c>
      <c r="J94" s="136">
        <f>'EU-ETS'!$C$15/1000</f>
        <v>0.073430000000000009</v>
      </c>
    </row>
    <row r="95" ht="30">
      <c r="B95" s="131" t="s">
        <v>94</v>
      </c>
      <c r="C95" s="132" t="s">
        <v>92</v>
      </c>
      <c r="D95" s="133" t="b">
        <v>1</v>
      </c>
      <c r="E95" s="134" t="s">
        <v>95</v>
      </c>
      <c r="F95" s="135"/>
      <c r="G95" s="137">
        <f>$C$10*$G$49*$L$49</f>
        <v>0</v>
      </c>
      <c r="H95" s="77"/>
      <c r="I95" s="29">
        <f>$C$83/1000</f>
        <v>0.085199999999999998</v>
      </c>
      <c r="J95" s="136">
        <f>'EU-ETS'!$C$15/1000</f>
        <v>0.073430000000000009</v>
      </c>
    </row>
    <row r="96" ht="30">
      <c r="B96" s="131" t="s">
        <v>96</v>
      </c>
      <c r="C96" s="132" t="s">
        <v>92</v>
      </c>
      <c r="D96" s="133" t="b">
        <v>1</v>
      </c>
      <c r="E96" s="134" t="s">
        <v>97</v>
      </c>
      <c r="F96" s="135"/>
      <c r="G96" s="77">
        <f>$G$47*$C$10*(1-$C$9)+$G$46*(1-$C$9)</f>
        <v>3.1555392000000007</v>
      </c>
      <c r="H96" s="77"/>
      <c r="I96" s="36">
        <f>($G$66+$C$81)/1000</f>
        <v>0.19934120000000002</v>
      </c>
      <c r="J96" s="136">
        <f>'EU-ETS'!$C$15/1000</f>
        <v>0.073430000000000009</v>
      </c>
    </row>
    <row r="97" ht="30">
      <c r="B97" s="131" t="s">
        <v>98</v>
      </c>
      <c r="C97" s="132" t="s">
        <v>92</v>
      </c>
      <c r="D97" s="133" t="b">
        <v>1</v>
      </c>
      <c r="E97" s="134" t="s">
        <v>97</v>
      </c>
      <c r="F97" s="135"/>
      <c r="G97" s="77">
        <f>$G$47*$C$10*(1-$C$9)+$G$46*(1-$C$9)</f>
        <v>3.1555392000000007</v>
      </c>
      <c r="H97" s="137"/>
      <c r="I97" s="36">
        <f>($G$66+$C$81)/1000</f>
        <v>0.19934120000000002</v>
      </c>
      <c r="J97" s="136">
        <f>'EU-ETS'!$C$15/1000</f>
        <v>0.073430000000000009</v>
      </c>
    </row>
    <row r="98" ht="30">
      <c r="B98" s="131" t="s">
        <v>99</v>
      </c>
      <c r="C98" s="132" t="s">
        <v>92</v>
      </c>
      <c r="D98" s="133" t="b">
        <v>1</v>
      </c>
      <c r="E98" s="134" t="s">
        <v>97</v>
      </c>
      <c r="F98" s="135"/>
      <c r="G98" s="77">
        <f>$G$47*$C$10*(1-$C$9)+$G$46*(1-$C$9)</f>
        <v>3.1555392000000007</v>
      </c>
      <c r="H98" s="137"/>
      <c r="I98" s="36">
        <f>($G$66+$C$81)/1000</f>
        <v>0.19934120000000002</v>
      </c>
      <c r="J98" s="136">
        <f>'EU-ETS'!$C$15/1000</f>
        <v>0.073430000000000009</v>
      </c>
    </row>
    <row r="99" ht="30">
      <c r="B99" s="131" t="s">
        <v>100</v>
      </c>
      <c r="C99" s="132" t="s">
        <v>101</v>
      </c>
      <c r="D99" s="133" t="b">
        <v>1</v>
      </c>
      <c r="E99" s="134" t="s">
        <v>93</v>
      </c>
      <c r="F99" s="135"/>
      <c r="G99" s="137">
        <f>$C$10*$G$50*$L$49</f>
        <v>0</v>
      </c>
      <c r="H99" s="77"/>
      <c r="I99" s="29">
        <f>$C$84/1000</f>
        <v>0.085199999999999998</v>
      </c>
      <c r="J99" s="136">
        <f>'EU-ETS'!$C$15/1000</f>
        <v>0.073430000000000009</v>
      </c>
    </row>
    <row r="100" ht="30">
      <c r="B100" s="131" t="s">
        <v>102</v>
      </c>
      <c r="C100" s="132" t="s">
        <v>101</v>
      </c>
      <c r="D100" s="133" t="b">
        <v>1</v>
      </c>
      <c r="E100" s="134" t="s">
        <v>93</v>
      </c>
      <c r="F100" s="135"/>
      <c r="G100" s="137">
        <f>$C$10*$G$50*$L$49</f>
        <v>0</v>
      </c>
      <c r="H100" s="77"/>
      <c r="I100" s="29">
        <f>$C$84/1000</f>
        <v>0.085199999999999998</v>
      </c>
      <c r="J100" s="136">
        <f>'EU-ETS'!$C$15/1000</f>
        <v>0.073430000000000009</v>
      </c>
    </row>
    <row r="101" ht="30">
      <c r="B101" s="131" t="s">
        <v>103</v>
      </c>
      <c r="C101" s="132" t="s">
        <v>92</v>
      </c>
      <c r="D101" s="133" t="b">
        <v>1</v>
      </c>
      <c r="E101" s="134" t="s">
        <v>104</v>
      </c>
      <c r="F101" s="135"/>
      <c r="G101" s="137">
        <f>$C$10*$G$48*$L$49+$C$10*$G$67*$L$69</f>
        <v>32.756181961609258</v>
      </c>
      <c r="H101" s="77"/>
      <c r="I101" s="36">
        <f>$C$82/1000</f>
        <v>0.085199999999999998</v>
      </c>
      <c r="J101" s="136">
        <f>'EU-ETS'!$C$15/1000</f>
        <v>0.073430000000000009</v>
      </c>
    </row>
    <row r="102" ht="30">
      <c r="B102" s="131" t="s">
        <v>105</v>
      </c>
      <c r="C102" s="132" t="s">
        <v>92</v>
      </c>
      <c r="D102" s="133" t="b">
        <v>1</v>
      </c>
      <c r="E102" s="134" t="s">
        <v>104</v>
      </c>
      <c r="F102" s="135"/>
      <c r="G102" s="137">
        <f>$C$10*$G$48*$L$49+$C$10*$G$67*$L$69</f>
        <v>32.756181961609258</v>
      </c>
      <c r="H102" s="77"/>
      <c r="I102" s="29">
        <f>$C$82/1000</f>
        <v>0.085199999999999998</v>
      </c>
      <c r="J102" s="136">
        <f>'EU-ETS'!$C$15/1000</f>
        <v>0.073430000000000009</v>
      </c>
    </row>
    <row r="103" ht="30">
      <c r="B103" s="131" t="s">
        <v>106</v>
      </c>
      <c r="C103" s="132" t="s">
        <v>92</v>
      </c>
      <c r="D103" s="133" t="b">
        <v>1</v>
      </c>
      <c r="E103" s="134" t="s">
        <v>95</v>
      </c>
      <c r="F103" s="135"/>
      <c r="G103" s="137">
        <f>$C$10*$G$49*$L$49</f>
        <v>0</v>
      </c>
      <c r="H103" s="77"/>
      <c r="I103" s="29">
        <f>$C$83/1000</f>
        <v>0.085199999999999998</v>
      </c>
      <c r="J103" s="136">
        <f>'EU-ETS'!$C$15/1000</f>
        <v>0.073430000000000009</v>
      </c>
    </row>
    <row r="104" ht="30">
      <c r="B104" s="131" t="s">
        <v>107</v>
      </c>
      <c r="C104" s="132" t="s">
        <v>92</v>
      </c>
      <c r="D104" s="133" t="b">
        <v>1</v>
      </c>
      <c r="E104" s="134" t="s">
        <v>97</v>
      </c>
      <c r="F104" s="135"/>
      <c r="G104" s="77">
        <f>$G$47*$C$10*(1-$C$9)+$G$46*(1-$C$9)</f>
        <v>3.1555392000000007</v>
      </c>
      <c r="H104" s="137"/>
      <c r="I104" s="36">
        <f>($G$66+$C$81)/1000</f>
        <v>0.19934120000000002</v>
      </c>
      <c r="J104" s="136">
        <f>'EU-ETS'!$C$15/1000</f>
        <v>0.073430000000000009</v>
      </c>
    </row>
    <row r="105" ht="30">
      <c r="B105" s="131" t="s">
        <v>108</v>
      </c>
      <c r="C105" s="132" t="s">
        <v>92</v>
      </c>
      <c r="D105" s="133" t="b">
        <v>1</v>
      </c>
      <c r="E105" s="134" t="s">
        <v>97</v>
      </c>
      <c r="F105" s="135"/>
      <c r="G105" s="77">
        <f>$G$47*$C$10*(1-$C$9)+$G$46*(1-$C$9)</f>
        <v>3.1555392000000007</v>
      </c>
      <c r="H105" s="137"/>
      <c r="I105" s="36">
        <f>($G$66+$C$81)/1000</f>
        <v>0.19934120000000002</v>
      </c>
      <c r="J105" s="136">
        <f>'EU-ETS'!$C$15/1000</f>
        <v>0.073430000000000009</v>
      </c>
    </row>
    <row r="106" ht="15">
      <c r="B106" s="131" t="s">
        <v>109</v>
      </c>
      <c r="C106" s="133" t="s">
        <v>110</v>
      </c>
      <c r="D106" s="132" t="b">
        <v>0</v>
      </c>
      <c r="E106" s="134" t="s">
        <v>111</v>
      </c>
      <c r="F106" s="135">
        <f>$G$42+$G$62</f>
        <v>1.2431028135682358</v>
      </c>
      <c r="G106" s="77"/>
      <c r="H106" s="77"/>
      <c r="I106" s="36"/>
      <c r="J106" s="35"/>
    </row>
    <row r="107" ht="30">
      <c r="B107" s="131" t="s">
        <v>112</v>
      </c>
      <c r="C107" s="133" t="s">
        <v>110</v>
      </c>
      <c r="D107" s="132" t="b">
        <v>0</v>
      </c>
      <c r="E107" s="134" t="s">
        <v>113</v>
      </c>
      <c r="F107" s="135">
        <f>$G$43</f>
        <v>0.53600000000000003</v>
      </c>
      <c r="G107" s="77"/>
      <c r="H107" s="77"/>
      <c r="I107" s="36"/>
      <c r="J107" s="35"/>
    </row>
    <row r="108" ht="15">
      <c r="B108" s="131" t="s">
        <v>114</v>
      </c>
      <c r="C108" s="133" t="s">
        <v>110</v>
      </c>
      <c r="D108" s="133" t="b">
        <v>1</v>
      </c>
      <c r="E108" s="134" t="s">
        <v>115</v>
      </c>
      <c r="F108" s="135">
        <f>$G$45+$G$65*$K$69</f>
        <v>43.76805793871867</v>
      </c>
      <c r="G108" s="77"/>
      <c r="H108" s="77"/>
      <c r="I108" s="36">
        <f>$C$80/1000</f>
        <v>0.085199999999999998</v>
      </c>
      <c r="J108" s="136">
        <f>'EU-ETS'!$C$15/1000</f>
        <v>0.073430000000000009</v>
      </c>
    </row>
    <row r="109" ht="15">
      <c r="B109" s="131" t="s">
        <v>116</v>
      </c>
      <c r="C109" s="133" t="s">
        <v>110</v>
      </c>
      <c r="D109" s="132" t="b">
        <v>0</v>
      </c>
      <c r="E109" s="134" t="s">
        <v>115</v>
      </c>
      <c r="F109" s="135">
        <f>$G$45+$G$65</f>
        <v>46.788768802228418</v>
      </c>
      <c r="G109" s="77"/>
      <c r="H109" s="77"/>
      <c r="I109" s="36"/>
      <c r="J109" s="35"/>
    </row>
    <row r="110" ht="30">
      <c r="B110" s="131" t="s">
        <v>117</v>
      </c>
      <c r="C110" s="133" t="s">
        <v>110</v>
      </c>
      <c r="D110" s="133" t="b">
        <v>1</v>
      </c>
      <c r="E110" s="134" t="s">
        <v>104</v>
      </c>
      <c r="F110" s="135">
        <f>$G$48+$G$67*$K$69</f>
        <v>39.307418353931105</v>
      </c>
      <c r="G110" s="77"/>
      <c r="H110" s="77"/>
      <c r="I110" s="29">
        <f>$C$82/1000</f>
        <v>0.085199999999999998</v>
      </c>
      <c r="J110" s="136">
        <f>'EU-ETS'!$C$15/1000</f>
        <v>0.073430000000000009</v>
      </c>
    </row>
    <row r="111" ht="30">
      <c r="B111" s="131" t="s">
        <v>118</v>
      </c>
      <c r="C111" s="133" t="s">
        <v>110</v>
      </c>
      <c r="D111" s="132" t="b">
        <v>0</v>
      </c>
      <c r="E111" s="134" t="s">
        <v>104</v>
      </c>
      <c r="F111" s="135">
        <f>$G$48+$G$67</f>
        <v>41.745422035235336</v>
      </c>
      <c r="G111" s="77"/>
      <c r="H111" s="77"/>
      <c r="I111" s="77"/>
      <c r="J111" s="35"/>
    </row>
    <row r="112" ht="30">
      <c r="B112" s="131" t="s">
        <v>119</v>
      </c>
      <c r="C112" s="133" t="s">
        <v>110</v>
      </c>
      <c r="D112" s="132" t="b">
        <v>0</v>
      </c>
      <c r="E112" s="134" t="s">
        <v>93</v>
      </c>
      <c r="F112" s="135">
        <f>$G$50</f>
        <v>0</v>
      </c>
      <c r="G112" s="77"/>
      <c r="H112" s="77"/>
      <c r="I112" s="77"/>
      <c r="J112" s="35"/>
    </row>
    <row r="113" ht="30">
      <c r="B113" s="131" t="s">
        <v>120</v>
      </c>
      <c r="C113" s="133" t="s">
        <v>110</v>
      </c>
      <c r="D113" s="132" t="b">
        <v>0</v>
      </c>
      <c r="E113" s="134" t="s">
        <v>113</v>
      </c>
      <c r="F113" s="135">
        <f>$G$43</f>
        <v>0.53600000000000003</v>
      </c>
      <c r="G113" s="77"/>
      <c r="H113" s="77"/>
      <c r="I113" s="77"/>
      <c r="J113" s="35"/>
    </row>
    <row r="114" ht="30">
      <c r="B114" s="131" t="s">
        <v>121</v>
      </c>
      <c r="C114" s="133" t="s">
        <v>110</v>
      </c>
      <c r="D114" s="132" t="b">
        <v>0</v>
      </c>
      <c r="E114" s="134" t="s">
        <v>113</v>
      </c>
      <c r="F114" s="135">
        <f>$G$43</f>
        <v>0.53600000000000003</v>
      </c>
      <c r="G114" s="77"/>
      <c r="H114" s="77"/>
      <c r="I114" s="77"/>
      <c r="J114" s="35"/>
    </row>
    <row r="115" ht="30">
      <c r="B115" s="131" t="s">
        <v>122</v>
      </c>
      <c r="C115" s="133" t="s">
        <v>110</v>
      </c>
      <c r="D115" s="132" t="b">
        <v>0</v>
      </c>
      <c r="E115" s="134" t="s">
        <v>123</v>
      </c>
      <c r="F115" s="135">
        <f>$G$44</f>
        <v>0</v>
      </c>
      <c r="G115" s="77"/>
      <c r="H115" s="77"/>
      <c r="I115" s="77"/>
      <c r="J115" s="35"/>
    </row>
    <row r="116" ht="30">
      <c r="B116" s="131" t="s">
        <v>124</v>
      </c>
      <c r="C116" s="138" t="s">
        <v>125</v>
      </c>
      <c r="D116" s="132" t="b">
        <v>0</v>
      </c>
      <c r="E116" s="134" t="s">
        <v>113</v>
      </c>
      <c r="F116" s="135">
        <f>$G$43</f>
        <v>0.53600000000000003</v>
      </c>
      <c r="G116" s="77"/>
      <c r="H116" s="77"/>
      <c r="I116" s="77"/>
      <c r="J116" s="35"/>
    </row>
    <row r="117" ht="30">
      <c r="B117" s="131" t="s">
        <v>126</v>
      </c>
      <c r="C117" s="138" t="s">
        <v>125</v>
      </c>
      <c r="D117" s="132" t="b">
        <v>0</v>
      </c>
      <c r="E117" s="134" t="s">
        <v>113</v>
      </c>
      <c r="F117" s="135">
        <f>$G$43</f>
        <v>0.53600000000000003</v>
      </c>
      <c r="G117" s="77"/>
      <c r="H117" s="77"/>
      <c r="I117" s="77"/>
      <c r="J117" s="35"/>
    </row>
    <row r="118" ht="30">
      <c r="B118" s="139" t="s">
        <v>127</v>
      </c>
      <c r="C118" s="140" t="s">
        <v>128</v>
      </c>
      <c r="D118" s="141" t="b">
        <v>0</v>
      </c>
      <c r="E118" s="142" t="s">
        <v>113</v>
      </c>
      <c r="F118" s="143">
        <f>$G$43</f>
        <v>0.53600000000000003</v>
      </c>
      <c r="G118" s="144"/>
      <c r="H118" s="144"/>
      <c r="I118" s="144"/>
      <c r="J118" s="85"/>
    </row>
    <row r="121" ht="14.25">
      <c r="B121" s="145" t="s">
        <v>129</v>
      </c>
    </row>
    <row r="122" ht="14.25">
      <c r="B122" s="146" t="s">
        <v>130</v>
      </c>
    </row>
    <row r="123" ht="14.25">
      <c r="B123" s="145" t="s">
        <v>131</v>
      </c>
    </row>
  </sheetData>
  <autoFilter ref="B92:F118"/>
  <mergeCells count="19">
    <mergeCell ref="B2:E2"/>
    <mergeCell ref="B5:B6"/>
    <mergeCell ref="B7:B8"/>
    <mergeCell ref="B13:E13"/>
    <mergeCell ref="B26:E26"/>
    <mergeCell ref="B39:E39"/>
    <mergeCell ref="L41:M41"/>
    <mergeCell ref="L47:M47"/>
    <mergeCell ref="B59:E59"/>
    <mergeCell ref="L61:M61"/>
    <mergeCell ref="L67:M67"/>
    <mergeCell ref="B74:E74"/>
    <mergeCell ref="L76:M76"/>
    <mergeCell ref="L82:M82"/>
    <mergeCell ref="B89:E89"/>
    <mergeCell ref="B92:B93"/>
    <mergeCell ref="C92:C93"/>
    <mergeCell ref="D92:D93"/>
    <mergeCell ref="E92:E93"/>
  </mergeCells>
  <hyperlinks>
    <hyperlink r:id="rId1" ref="E19"/>
    <hyperlink r:id="rId2" ref="B53" tooltip=""/>
    <hyperlink r:id="rId3" ref="B54" tooltip=""/>
    <hyperlink r:id="rId4" ref="B55" tooltip=""/>
    <hyperlink r:id="rId5" ref="B56" tooltip=""/>
    <hyperlink r:id="rId6" ref="B71"/>
    <hyperlink r:id="rId7" ref="B86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A1" activeCellId="0" sqref="A1"/>
    </sheetView>
  </sheetViews>
  <sheetFormatPr defaultRowHeight="14.25"/>
  <cols>
    <col bestFit="1" min="2" max="2" width="14.57421875"/>
    <col bestFit="1" min="3" max="3" width="7.57421875"/>
    <col bestFit="1" min="5" max="5" width="31.8515625"/>
    <col customWidth="1" min="6" max="9" width="15.7109375"/>
    <col bestFit="1" min="10" max="10" width="13.75390625"/>
  </cols>
  <sheetData>
    <row r="2" s="1" customFormat="1" ht="14.25">
      <c r="B2" s="147" t="s">
        <v>40</v>
      </c>
      <c r="C2" s="147"/>
      <c r="D2" s="147"/>
      <c r="E2" s="147"/>
    </row>
    <row r="4" ht="14.25">
      <c r="B4" s="25" t="s">
        <v>17</v>
      </c>
      <c r="C4" s="26" t="s">
        <v>41</v>
      </c>
      <c r="D4" s="148" t="s">
        <v>18</v>
      </c>
      <c r="E4" s="5" t="s">
        <v>19</v>
      </c>
      <c r="G4" s="55" t="s">
        <v>41</v>
      </c>
      <c r="H4" s="56" t="s">
        <v>18</v>
      </c>
    </row>
    <row r="5" ht="14.25">
      <c r="B5" s="28" t="s">
        <v>20</v>
      </c>
      <c r="C5" s="149">
        <v>0</v>
      </c>
      <c r="D5" s="150" t="s">
        <v>45</v>
      </c>
      <c r="E5" s="151"/>
      <c r="G5" s="152">
        <v>0</v>
      </c>
      <c r="H5" s="35" t="s">
        <v>45</v>
      </c>
    </row>
    <row r="6" ht="14.25">
      <c r="B6" s="32" t="s">
        <v>22</v>
      </c>
      <c r="C6" s="153">
        <v>20.5</v>
      </c>
      <c r="D6" s="37" t="s">
        <v>45</v>
      </c>
      <c r="E6" s="35"/>
      <c r="G6" s="152">
        <f>C6</f>
        <v>20.5</v>
      </c>
      <c r="H6" s="35" t="s">
        <v>45</v>
      </c>
      <c r="J6" t="s">
        <v>132</v>
      </c>
      <c r="K6">
        <v>0</v>
      </c>
    </row>
    <row r="7" ht="14.25">
      <c r="B7" s="32" t="s">
        <v>24</v>
      </c>
      <c r="C7" s="153"/>
      <c r="D7" s="154"/>
      <c r="E7" s="35"/>
      <c r="G7" s="152">
        <v>0</v>
      </c>
      <c r="H7" s="35" t="s">
        <v>45</v>
      </c>
    </row>
    <row r="8" ht="14.25">
      <c r="B8" s="32" t="s">
        <v>26</v>
      </c>
      <c r="C8" s="153">
        <v>61.350000000000001</v>
      </c>
      <c r="D8" s="37" t="s">
        <v>133</v>
      </c>
      <c r="E8" s="48" t="s">
        <v>134</v>
      </c>
      <c r="G8" s="152">
        <f>C8*(1/'DK-TaxRates'!C19)*'DK-TaxRates'!C5</f>
        <v>6.1520891364902512</v>
      </c>
      <c r="H8" s="35" t="s">
        <v>45</v>
      </c>
    </row>
    <row r="9" ht="14.25">
      <c r="B9" s="155" t="s">
        <v>28</v>
      </c>
      <c r="C9" s="153"/>
      <c r="D9" s="37"/>
      <c r="E9" s="35"/>
      <c r="G9" s="152">
        <v>0</v>
      </c>
      <c r="H9" s="35" t="s">
        <v>45</v>
      </c>
    </row>
    <row r="10" ht="14.25">
      <c r="B10" s="32" t="s">
        <v>30</v>
      </c>
      <c r="C10" s="153">
        <v>5.5</v>
      </c>
      <c r="D10" s="37" t="s">
        <v>45</v>
      </c>
      <c r="E10" s="35" t="s">
        <v>134</v>
      </c>
      <c r="G10" s="152">
        <f t="shared" ref="G10:G12" si="2">C10</f>
        <v>5.5</v>
      </c>
      <c r="H10" s="35" t="s">
        <v>45</v>
      </c>
    </row>
    <row r="11" ht="14.25">
      <c r="B11" s="32" t="s">
        <v>31</v>
      </c>
      <c r="C11" s="153">
        <v>0</v>
      </c>
      <c r="D11" s="37" t="s">
        <v>45</v>
      </c>
      <c r="E11" s="35"/>
      <c r="G11" s="152">
        <f t="shared" si="2"/>
        <v>0</v>
      </c>
      <c r="H11" s="35" t="s">
        <v>45</v>
      </c>
    </row>
    <row r="12" ht="14.25">
      <c r="B12" s="39" t="s">
        <v>32</v>
      </c>
      <c r="C12" s="156">
        <v>0</v>
      </c>
      <c r="D12" s="41" t="s">
        <v>45</v>
      </c>
      <c r="E12" s="85"/>
      <c r="G12" s="157">
        <f t="shared" si="2"/>
        <v>0</v>
      </c>
      <c r="H12" s="85" t="s">
        <v>45</v>
      </c>
    </row>
    <row r="15" s="1" customFormat="1" ht="14.25">
      <c r="B15" s="147" t="s">
        <v>135</v>
      </c>
      <c r="C15" s="147"/>
      <c r="D15" s="147"/>
      <c r="E15" s="147"/>
    </row>
    <row r="17" ht="14.25">
      <c r="B17" s="25" t="s">
        <v>17</v>
      </c>
      <c r="C17" s="26" t="s">
        <v>41</v>
      </c>
      <c r="D17" s="27" t="s">
        <v>18</v>
      </c>
      <c r="E17" s="5" t="s">
        <v>19</v>
      </c>
    </row>
    <row r="18" ht="14.25">
      <c r="B18" s="28" t="s">
        <v>20</v>
      </c>
      <c r="C18" s="44">
        <v>55</v>
      </c>
      <c r="D18" s="30" t="s">
        <v>136</v>
      </c>
      <c r="E18" s="158" t="s">
        <v>137</v>
      </c>
    </row>
    <row r="19" ht="14.25">
      <c r="B19" s="32" t="s">
        <v>22</v>
      </c>
      <c r="C19" s="44"/>
      <c r="D19" s="30"/>
      <c r="E19" s="35"/>
    </row>
    <row r="20" ht="14.25">
      <c r="B20" s="32" t="s">
        <v>24</v>
      </c>
      <c r="C20" s="44"/>
      <c r="D20" s="30"/>
      <c r="E20" s="35"/>
    </row>
    <row r="21" ht="14.25">
      <c r="B21" s="32" t="s">
        <v>26</v>
      </c>
      <c r="C21" s="44">
        <v>55</v>
      </c>
      <c r="D21" s="30" t="s">
        <v>136</v>
      </c>
      <c r="E21" s="35"/>
    </row>
    <row r="22" ht="14.25">
      <c r="B22" s="155" t="s">
        <v>28</v>
      </c>
      <c r="C22" s="44">
        <v>55</v>
      </c>
      <c r="D22" s="30" t="s">
        <v>136</v>
      </c>
      <c r="E22" s="48" t="s">
        <v>138</v>
      </c>
    </row>
    <row r="23" ht="14.25">
      <c r="B23" s="32" t="s">
        <v>30</v>
      </c>
      <c r="C23" s="44">
        <v>55</v>
      </c>
      <c r="D23" s="30" t="s">
        <v>136</v>
      </c>
      <c r="E23" s="35"/>
    </row>
    <row r="24" ht="14.25">
      <c r="B24" s="32" t="s">
        <v>31</v>
      </c>
      <c r="C24" s="44">
        <v>55</v>
      </c>
      <c r="D24" s="30" t="s">
        <v>136</v>
      </c>
      <c r="E24" s="75" t="s">
        <v>137</v>
      </c>
    </row>
    <row r="25" ht="14.25">
      <c r="B25" s="39" t="s">
        <v>32</v>
      </c>
      <c r="C25" s="156">
        <v>55</v>
      </c>
      <c r="D25" s="115" t="s">
        <v>136</v>
      </c>
      <c r="E25" s="21" t="s">
        <v>137</v>
      </c>
    </row>
    <row r="26" ht="14.25">
      <c r="B26" s="159" t="s">
        <v>139</v>
      </c>
    </row>
    <row r="29" ht="14.25">
      <c r="A29" s="1"/>
      <c r="B29" s="2" t="s">
        <v>81</v>
      </c>
      <c r="C29" s="2"/>
      <c r="D29" s="2"/>
      <c r="E29" s="2"/>
      <c r="F29" s="1"/>
      <c r="G29" s="1"/>
      <c r="H29" s="1"/>
      <c r="I29" s="1"/>
      <c r="J29" s="1"/>
      <c r="K29" s="1"/>
      <c r="L29" s="1"/>
      <c r="M29" s="1"/>
    </row>
    <row r="30" ht="14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</row>
    <row r="31" ht="14.25">
      <c r="A31" s="34"/>
      <c r="B31" s="160" t="s">
        <v>82</v>
      </c>
      <c r="C31" s="161" t="s">
        <v>83</v>
      </c>
      <c r="D31" s="162" t="s">
        <v>48</v>
      </c>
      <c r="E31" s="163" t="s">
        <v>84</v>
      </c>
      <c r="F31" s="121" t="s">
        <v>84</v>
      </c>
      <c r="G31" s="122" t="s">
        <v>85</v>
      </c>
      <c r="H31" s="122" t="s">
        <v>86</v>
      </c>
      <c r="I31" s="123" t="s">
        <v>87</v>
      </c>
      <c r="J31" s="56" t="s">
        <v>48</v>
      </c>
      <c r="K31" s="44"/>
      <c r="L31" s="44"/>
      <c r="M31" s="44"/>
    </row>
    <row r="32" ht="14.25">
      <c r="A32" s="34"/>
      <c r="B32" s="164" t="s">
        <v>91</v>
      </c>
      <c r="C32" s="165" t="s">
        <v>92</v>
      </c>
      <c r="D32" s="166" t="b">
        <v>1</v>
      </c>
      <c r="E32" s="167" t="s">
        <v>93</v>
      </c>
      <c r="F32" s="135">
        <f>$G$12*$K$6</f>
        <v>0</v>
      </c>
      <c r="G32" s="137"/>
      <c r="H32" s="168"/>
      <c r="I32" s="168"/>
      <c r="J32" s="136">
        <f>'EU-ETS'!$C$15/1000</f>
        <v>0.073430000000000009</v>
      </c>
      <c r="K32" s="44"/>
      <c r="L32" s="44"/>
      <c r="M32" s="44"/>
    </row>
    <row r="33" ht="14.25">
      <c r="A33" s="34"/>
      <c r="B33" s="131" t="s">
        <v>94</v>
      </c>
      <c r="C33" s="132" t="s">
        <v>92</v>
      </c>
      <c r="D33" s="133" t="b">
        <v>1</v>
      </c>
      <c r="E33" s="134" t="s">
        <v>95</v>
      </c>
      <c r="F33" s="135">
        <f>$G$11*$K$6</f>
        <v>0</v>
      </c>
      <c r="G33" s="137"/>
      <c r="H33" s="168"/>
      <c r="I33" s="168"/>
      <c r="J33" s="136">
        <f>'EU-ETS'!$C$15/1000</f>
        <v>0.073430000000000009</v>
      </c>
      <c r="K33" s="44"/>
      <c r="L33" s="44"/>
      <c r="M33" s="44"/>
    </row>
    <row r="34" ht="14.25">
      <c r="A34" s="34"/>
      <c r="B34" s="131" t="s">
        <v>96</v>
      </c>
      <c r="C34" s="132" t="s">
        <v>92</v>
      </c>
      <c r="D34" s="133" t="b">
        <v>1</v>
      </c>
      <c r="E34" s="134" t="s">
        <v>97</v>
      </c>
      <c r="F34" s="135">
        <f>$G$9*$K$6</f>
        <v>0</v>
      </c>
      <c r="G34" s="77"/>
      <c r="H34" s="168"/>
      <c r="I34" s="169">
        <f>$C$22/1000</f>
        <v>0.055</v>
      </c>
      <c r="J34" s="170"/>
      <c r="K34" s="44"/>
      <c r="L34" s="44"/>
      <c r="M34" s="44"/>
    </row>
    <row r="35" ht="14.25">
      <c r="A35" s="34"/>
      <c r="B35" s="131" t="s">
        <v>98</v>
      </c>
      <c r="C35" s="132" t="s">
        <v>92</v>
      </c>
      <c r="D35" s="133" t="b">
        <v>1</v>
      </c>
      <c r="E35" s="134" t="s">
        <v>97</v>
      </c>
      <c r="F35" s="135">
        <f>$G$9*$K$6</f>
        <v>0</v>
      </c>
      <c r="G35" s="77"/>
      <c r="H35" s="168"/>
      <c r="I35" s="169">
        <f>$C$22/1000</f>
        <v>0.055</v>
      </c>
      <c r="J35" s="170"/>
      <c r="K35" s="44"/>
      <c r="L35" s="44"/>
      <c r="M35" s="44"/>
    </row>
    <row r="36" ht="14.25">
      <c r="A36" s="34"/>
      <c r="B36" s="131" t="s">
        <v>99</v>
      </c>
      <c r="C36" s="132" t="s">
        <v>92</v>
      </c>
      <c r="D36" s="133" t="b">
        <v>1</v>
      </c>
      <c r="E36" s="134" t="s">
        <v>97</v>
      </c>
      <c r="F36" s="135">
        <f>$G$9*$K$6</f>
        <v>0</v>
      </c>
      <c r="G36" s="77"/>
      <c r="H36" s="168"/>
      <c r="I36" s="169">
        <f>$C$22/1000</f>
        <v>0.055</v>
      </c>
      <c r="J36" s="170"/>
      <c r="K36" s="44"/>
      <c r="L36" s="44"/>
      <c r="M36" s="44"/>
    </row>
    <row r="37" ht="14.25">
      <c r="A37" s="34"/>
      <c r="B37" s="131" t="s">
        <v>100</v>
      </c>
      <c r="C37" s="132" t="s">
        <v>101</v>
      </c>
      <c r="D37" s="133" t="b">
        <v>1</v>
      </c>
      <c r="E37" s="134" t="s">
        <v>93</v>
      </c>
      <c r="F37" s="135">
        <f>$G$12*$K$6</f>
        <v>0</v>
      </c>
      <c r="G37" s="137"/>
      <c r="H37" s="168"/>
      <c r="I37" s="168"/>
      <c r="J37" s="136">
        <f>'EU-ETS'!$C$15/1000</f>
        <v>0.073430000000000009</v>
      </c>
      <c r="K37" s="44"/>
      <c r="L37" s="44"/>
      <c r="M37" s="44"/>
    </row>
    <row r="38" ht="14.25">
      <c r="A38" s="34"/>
      <c r="B38" s="131" t="s">
        <v>102</v>
      </c>
      <c r="C38" s="132" t="s">
        <v>101</v>
      </c>
      <c r="D38" s="133" t="b">
        <v>1</v>
      </c>
      <c r="E38" s="134" t="s">
        <v>93</v>
      </c>
      <c r="F38" s="135">
        <f>$G$12*$K$6</f>
        <v>0</v>
      </c>
      <c r="G38" s="137"/>
      <c r="H38" s="168"/>
      <c r="I38" s="168"/>
      <c r="J38" s="136">
        <f>'EU-ETS'!$C$15/1000</f>
        <v>0.073430000000000009</v>
      </c>
      <c r="K38" s="44"/>
      <c r="L38" s="44"/>
      <c r="M38" s="44"/>
    </row>
    <row r="39" ht="14.25">
      <c r="A39" s="34"/>
      <c r="B39" s="131" t="s">
        <v>103</v>
      </c>
      <c r="C39" s="132" t="s">
        <v>92</v>
      </c>
      <c r="D39" s="133" t="b">
        <v>1</v>
      </c>
      <c r="E39" s="134" t="s">
        <v>104</v>
      </c>
      <c r="F39" s="135">
        <f>$G$10*$K$6</f>
        <v>0</v>
      </c>
      <c r="G39" s="137"/>
      <c r="H39" s="168"/>
      <c r="I39" s="168"/>
      <c r="J39" s="136">
        <f>'EU-ETS'!$C$15/1000</f>
        <v>0.073430000000000009</v>
      </c>
      <c r="K39" s="44"/>
      <c r="L39" s="44"/>
      <c r="M39" s="44"/>
    </row>
    <row r="40" ht="14.25">
      <c r="A40" s="34"/>
      <c r="B40" s="131" t="s">
        <v>105</v>
      </c>
      <c r="C40" s="132" t="s">
        <v>92</v>
      </c>
      <c r="D40" s="133" t="b">
        <v>1</v>
      </c>
      <c r="E40" s="134" t="s">
        <v>104</v>
      </c>
      <c r="F40" s="135">
        <f>$G$10*$K$6</f>
        <v>0</v>
      </c>
      <c r="G40" s="137"/>
      <c r="H40" s="168"/>
      <c r="I40" s="168"/>
      <c r="J40" s="136">
        <f>'EU-ETS'!$C$15/1000</f>
        <v>0.073430000000000009</v>
      </c>
      <c r="K40" s="44"/>
      <c r="L40" s="44"/>
      <c r="M40" s="44"/>
    </row>
    <row r="41" ht="14.25">
      <c r="A41" s="34"/>
      <c r="B41" s="131" t="s">
        <v>106</v>
      </c>
      <c r="C41" s="132" t="s">
        <v>92</v>
      </c>
      <c r="D41" s="133" t="b">
        <v>1</v>
      </c>
      <c r="E41" s="134" t="s">
        <v>95</v>
      </c>
      <c r="F41" s="135">
        <f>$G$11*$K$6</f>
        <v>0</v>
      </c>
      <c r="G41" s="137"/>
      <c r="H41" s="168"/>
      <c r="I41" s="168"/>
      <c r="J41" s="136">
        <f>'EU-ETS'!$C$15/1000</f>
        <v>0.073430000000000009</v>
      </c>
      <c r="K41" s="44"/>
      <c r="L41" s="44"/>
      <c r="M41" s="44"/>
    </row>
    <row r="42" ht="14.25">
      <c r="A42" s="34"/>
      <c r="B42" s="131" t="s">
        <v>107</v>
      </c>
      <c r="C42" s="132" t="s">
        <v>92</v>
      </c>
      <c r="D42" s="133" t="b">
        <v>1</v>
      </c>
      <c r="E42" s="134" t="s">
        <v>97</v>
      </c>
      <c r="F42" s="135">
        <f>$G$9*$K$6</f>
        <v>0</v>
      </c>
      <c r="G42" s="77"/>
      <c r="H42" s="168"/>
      <c r="I42" s="169">
        <f>$C$22/1000</f>
        <v>0.055</v>
      </c>
      <c r="J42" s="170"/>
      <c r="K42" s="44"/>
      <c r="L42" s="44"/>
      <c r="M42" s="44"/>
    </row>
    <row r="43" ht="14.25">
      <c r="A43" s="34"/>
      <c r="B43" s="131" t="s">
        <v>108</v>
      </c>
      <c r="C43" s="132" t="s">
        <v>92</v>
      </c>
      <c r="D43" s="133" t="b">
        <v>1</v>
      </c>
      <c r="E43" s="134" t="s">
        <v>97</v>
      </c>
      <c r="F43" s="135">
        <f>$G$9*$K$6</f>
        <v>0</v>
      </c>
      <c r="G43" s="77"/>
      <c r="H43" s="168"/>
      <c r="I43" s="169">
        <f>$C$22/1000</f>
        <v>0.055</v>
      </c>
      <c r="J43" s="170"/>
      <c r="K43" s="44"/>
      <c r="L43" s="44"/>
      <c r="M43" s="44"/>
    </row>
    <row r="44" ht="14.25">
      <c r="A44" s="34"/>
      <c r="B44" s="131" t="s">
        <v>109</v>
      </c>
      <c r="C44" s="133" t="s">
        <v>110</v>
      </c>
      <c r="D44" s="132" t="b">
        <v>0</v>
      </c>
      <c r="E44" s="134" t="s">
        <v>111</v>
      </c>
      <c r="F44" s="135">
        <f>$G$5</f>
        <v>0</v>
      </c>
      <c r="G44" s="137"/>
      <c r="H44" s="168"/>
      <c r="I44" s="169">
        <f>$C$18/1000</f>
        <v>0.055</v>
      </c>
      <c r="J44" s="170"/>
      <c r="K44" s="44"/>
      <c r="L44" s="44"/>
      <c r="M44" s="44"/>
    </row>
    <row r="45" ht="14.25">
      <c r="A45" s="34"/>
      <c r="B45" s="131" t="s">
        <v>112</v>
      </c>
      <c r="C45" s="133" t="s">
        <v>110</v>
      </c>
      <c r="D45" s="132" t="b">
        <v>0</v>
      </c>
      <c r="E45" s="134" t="s">
        <v>113</v>
      </c>
      <c r="F45" s="135">
        <f>$G$6</f>
        <v>20.5</v>
      </c>
      <c r="G45" s="137"/>
      <c r="H45" s="168"/>
      <c r="I45" s="169"/>
      <c r="J45" s="170"/>
      <c r="K45" s="44"/>
      <c r="L45" s="44"/>
      <c r="M45" s="44"/>
    </row>
    <row r="46" ht="14.25">
      <c r="A46" s="34"/>
      <c r="B46" s="131" t="s">
        <v>114</v>
      </c>
      <c r="C46" s="133" t="s">
        <v>110</v>
      </c>
      <c r="D46" s="133" t="b">
        <v>1</v>
      </c>
      <c r="E46" s="134" t="s">
        <v>115</v>
      </c>
      <c r="F46" s="135">
        <f>$G$8</f>
        <v>6.1520891364902512</v>
      </c>
      <c r="G46" s="137"/>
      <c r="H46" s="168"/>
      <c r="I46" s="169"/>
      <c r="J46" s="136">
        <f>'EU-ETS'!$C$15/1000</f>
        <v>0.073430000000000009</v>
      </c>
      <c r="K46" s="44"/>
      <c r="L46" s="44"/>
      <c r="M46" s="44"/>
    </row>
    <row r="47" ht="14.25">
      <c r="A47" s="34"/>
      <c r="B47" s="131" t="s">
        <v>116</v>
      </c>
      <c r="C47" s="133" t="s">
        <v>110</v>
      </c>
      <c r="D47" s="132" t="b">
        <v>0</v>
      </c>
      <c r="E47" s="134" t="s">
        <v>115</v>
      </c>
      <c r="F47" s="135">
        <f>$G$8</f>
        <v>6.1520891364902512</v>
      </c>
      <c r="G47" s="137"/>
      <c r="H47" s="168"/>
      <c r="I47" s="169">
        <f>$C$21/1000</f>
        <v>0.055</v>
      </c>
      <c r="J47" s="170"/>
      <c r="K47" s="44"/>
      <c r="L47" s="44"/>
      <c r="M47" s="44"/>
    </row>
    <row r="48" ht="14.25">
      <c r="A48" s="34"/>
      <c r="B48" s="131" t="s">
        <v>117</v>
      </c>
      <c r="C48" s="133" t="s">
        <v>110</v>
      </c>
      <c r="D48" s="133" t="b">
        <v>1</v>
      </c>
      <c r="E48" s="134" t="s">
        <v>104</v>
      </c>
      <c r="F48" s="135">
        <f>$G$10</f>
        <v>5.5</v>
      </c>
      <c r="G48" s="137"/>
      <c r="H48" s="168"/>
      <c r="I48" s="169"/>
      <c r="J48" s="136">
        <f>'EU-ETS'!$C$15/1000</f>
        <v>0.073430000000000009</v>
      </c>
      <c r="K48" s="44"/>
      <c r="L48" s="44"/>
      <c r="M48" s="44"/>
    </row>
    <row r="49" ht="14.25">
      <c r="A49" s="34"/>
      <c r="B49" s="131" t="s">
        <v>118</v>
      </c>
      <c r="C49" s="133" t="s">
        <v>110</v>
      </c>
      <c r="D49" s="132" t="b">
        <v>0</v>
      </c>
      <c r="E49" s="134" t="s">
        <v>104</v>
      </c>
      <c r="F49" s="135">
        <f>$G$10</f>
        <v>5.5</v>
      </c>
      <c r="G49" s="137"/>
      <c r="H49" s="168"/>
      <c r="I49" s="169">
        <f>$C$23/1000</f>
        <v>0.055</v>
      </c>
      <c r="J49" s="170"/>
      <c r="K49" s="44"/>
      <c r="L49" s="44"/>
      <c r="M49" s="44"/>
    </row>
    <row r="50" ht="14.25">
      <c r="A50" s="34"/>
      <c r="B50" s="131" t="s">
        <v>119</v>
      </c>
      <c r="C50" s="133" t="s">
        <v>110</v>
      </c>
      <c r="D50" s="132" t="b">
        <v>0</v>
      </c>
      <c r="E50" s="134" t="s">
        <v>93</v>
      </c>
      <c r="F50" s="135">
        <f>$G$12</f>
        <v>0</v>
      </c>
      <c r="G50" s="137"/>
      <c r="H50" s="168"/>
      <c r="I50" s="169">
        <f>$C$25/1000</f>
        <v>0.055</v>
      </c>
      <c r="J50" s="170"/>
      <c r="K50" s="44"/>
      <c r="L50" s="44"/>
      <c r="M50" s="44"/>
    </row>
    <row r="51" ht="14.25">
      <c r="A51" s="34"/>
      <c r="B51" s="131" t="s">
        <v>120</v>
      </c>
      <c r="C51" s="133" t="s">
        <v>110</v>
      </c>
      <c r="D51" s="132" t="b">
        <v>0</v>
      </c>
      <c r="E51" s="134" t="s">
        <v>113</v>
      </c>
      <c r="F51" s="135">
        <f>$G$6</f>
        <v>20.5</v>
      </c>
      <c r="G51" s="137"/>
      <c r="H51" s="168"/>
      <c r="I51" s="168"/>
      <c r="J51" s="170"/>
      <c r="K51" s="44"/>
      <c r="L51" s="44"/>
      <c r="M51" s="44"/>
    </row>
    <row r="52" ht="14.25">
      <c r="A52" s="34"/>
      <c r="B52" s="131" t="s">
        <v>121</v>
      </c>
      <c r="C52" s="133" t="s">
        <v>110</v>
      </c>
      <c r="D52" s="132" t="b">
        <v>0</v>
      </c>
      <c r="E52" s="134" t="s">
        <v>113</v>
      </c>
      <c r="F52" s="135">
        <f>$G$6</f>
        <v>20.5</v>
      </c>
      <c r="G52" s="137"/>
      <c r="H52" s="168"/>
      <c r="I52" s="168"/>
      <c r="J52" s="170"/>
      <c r="K52" s="44"/>
      <c r="L52" s="44"/>
      <c r="M52" s="44"/>
    </row>
    <row r="53" ht="14.25">
      <c r="A53" s="34"/>
      <c r="B53" s="131" t="s">
        <v>122</v>
      </c>
      <c r="C53" s="133" t="s">
        <v>110</v>
      </c>
      <c r="D53" s="132" t="b">
        <v>0</v>
      </c>
      <c r="E53" s="134" t="s">
        <v>123</v>
      </c>
      <c r="F53" s="135">
        <f>$G$7</f>
        <v>0</v>
      </c>
      <c r="G53" s="137"/>
      <c r="H53" s="168"/>
      <c r="I53" s="168"/>
      <c r="J53" s="170"/>
      <c r="K53" s="44"/>
      <c r="L53" s="44"/>
      <c r="M53" s="44"/>
    </row>
    <row r="54" ht="14.25">
      <c r="A54" s="34"/>
      <c r="B54" s="131" t="s">
        <v>124</v>
      </c>
      <c r="C54" s="138" t="s">
        <v>125</v>
      </c>
      <c r="D54" s="132" t="b">
        <v>0</v>
      </c>
      <c r="E54" s="134" t="s">
        <v>113</v>
      </c>
      <c r="F54" s="135">
        <f>$G$6</f>
        <v>20.5</v>
      </c>
      <c r="G54" s="137"/>
      <c r="H54" s="168"/>
      <c r="I54" s="168"/>
      <c r="J54" s="170"/>
      <c r="K54" s="44"/>
      <c r="L54" s="44"/>
      <c r="M54" s="44"/>
    </row>
    <row r="55" ht="14.25">
      <c r="A55" s="34"/>
      <c r="B55" s="131" t="s">
        <v>126</v>
      </c>
      <c r="C55" s="138" t="s">
        <v>125</v>
      </c>
      <c r="D55" s="132" t="b">
        <v>0</v>
      </c>
      <c r="E55" s="134" t="s">
        <v>113</v>
      </c>
      <c r="F55" s="135">
        <f>$G$6</f>
        <v>20.5</v>
      </c>
      <c r="G55" s="137"/>
      <c r="H55" s="168"/>
      <c r="I55" s="168"/>
      <c r="J55" s="170"/>
      <c r="K55" s="44"/>
      <c r="L55" s="44"/>
      <c r="M55" s="44"/>
    </row>
    <row r="56" ht="14.25">
      <c r="A56" s="34"/>
      <c r="B56" s="139" t="s">
        <v>127</v>
      </c>
      <c r="C56" s="140" t="s">
        <v>128</v>
      </c>
      <c r="D56" s="141" t="b">
        <v>0</v>
      </c>
      <c r="E56" s="142" t="s">
        <v>113</v>
      </c>
      <c r="F56" s="143">
        <f>$G$6</f>
        <v>20.5</v>
      </c>
      <c r="G56" s="144"/>
      <c r="H56" s="171"/>
      <c r="I56" s="171"/>
      <c r="J56" s="172"/>
      <c r="K56" s="44"/>
      <c r="L56" s="44"/>
      <c r="M56" s="44"/>
    </row>
  </sheetData>
  <autoFilter ref="B31:I56"/>
  <mergeCells count="3">
    <mergeCell ref="B2:E2"/>
    <mergeCell ref="B15:E15"/>
    <mergeCell ref="B29:E2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0" zoomScale="100" workbookViewId="0">
      <selection activeCell="A1" activeCellId="0" sqref="A1"/>
    </sheetView>
  </sheetViews>
  <sheetFormatPr defaultRowHeight="14.25"/>
  <cols>
    <col bestFit="1" min="2" max="2" width="19.82421875"/>
    <col bestFit="1" min="3" max="3" width="9.28125"/>
    <col bestFit="1" min="4" max="4" width="15.8515625"/>
    <col customWidth="1" min="5" max="5" width="22.7109375"/>
    <col customWidth="1" min="6" max="9" width="15.7109375"/>
  </cols>
  <sheetData>
    <row r="2" ht="28.5">
      <c r="B2" s="173" t="s">
        <v>140</v>
      </c>
      <c r="C2" s="174" t="s">
        <v>22</v>
      </c>
      <c r="D2" s="175" t="s">
        <v>141</v>
      </c>
      <c r="E2" s="175" t="s">
        <v>142</v>
      </c>
      <c r="F2" s="174" t="s">
        <v>26</v>
      </c>
    </row>
    <row r="3">
      <c r="B3" s="176" t="s">
        <v>143</v>
      </c>
      <c r="C3" s="22">
        <v>20.5</v>
      </c>
      <c r="D3" s="22">
        <v>17.16</v>
      </c>
      <c r="E3" s="22">
        <v>1.52</v>
      </c>
      <c r="F3" s="22">
        <v>15.619999999999999</v>
      </c>
      <c r="G3" s="22"/>
      <c r="H3" s="22"/>
      <c r="I3" s="22"/>
      <c r="J3" s="22"/>
      <c r="K3" s="22"/>
      <c r="L3" s="22"/>
    </row>
    <row r="4">
      <c r="B4" s="176" t="s">
        <v>144</v>
      </c>
      <c r="C4">
        <v>0.5</v>
      </c>
      <c r="D4" s="22">
        <v>17.16</v>
      </c>
      <c r="E4" s="22">
        <v>1.52</v>
      </c>
      <c r="F4" s="22">
        <v>15.619999999999999</v>
      </c>
    </row>
    <row r="5">
      <c r="B5" s="176" t="s">
        <v>145</v>
      </c>
      <c r="C5">
        <v>0.5</v>
      </c>
      <c r="D5" s="22">
        <v>17.16</v>
      </c>
      <c r="E5" s="22">
        <v>1.52</v>
      </c>
      <c r="F5" s="22">
        <v>15.619999999999999</v>
      </c>
    </row>
    <row r="6">
      <c r="B6" s="176" t="s">
        <v>146</v>
      </c>
      <c r="C6">
        <v>0.5</v>
      </c>
      <c r="D6" s="22">
        <v>17.16</v>
      </c>
      <c r="E6" s="22">
        <v>1.52</v>
      </c>
      <c r="F6" s="22">
        <v>15.619999999999999</v>
      </c>
    </row>
    <row r="7">
      <c r="B7" s="176" t="s">
        <v>147</v>
      </c>
      <c r="C7">
        <v>0.5</v>
      </c>
      <c r="D7" s="22">
        <v>17.16</v>
      </c>
      <c r="E7" s="22">
        <v>1.52</v>
      </c>
      <c r="F7" s="22">
        <v>15.619999999999999</v>
      </c>
    </row>
    <row r="8">
      <c r="B8" s="176" t="s">
        <v>148</v>
      </c>
      <c r="C8">
        <v>0.5</v>
      </c>
      <c r="D8" s="22">
        <v>17.16</v>
      </c>
      <c r="E8" s="22">
        <v>1.52</v>
      </c>
      <c r="F8" s="22">
        <v>15.619999999999999</v>
      </c>
    </row>
    <row r="9">
      <c r="B9" s="176" t="s">
        <v>149</v>
      </c>
      <c r="C9">
        <v>0.5</v>
      </c>
      <c r="D9" s="22">
        <v>17.16</v>
      </c>
      <c r="E9" s="22">
        <v>1.52</v>
      </c>
      <c r="F9" s="22">
        <v>15.619999999999999</v>
      </c>
    </row>
    <row r="10">
      <c r="B10" s="176" t="s">
        <v>150</v>
      </c>
      <c r="C10">
        <v>0.5</v>
      </c>
      <c r="D10" s="44">
        <v>15.43</v>
      </c>
      <c r="E10" s="22">
        <v>1.52</v>
      </c>
      <c r="F10">
        <v>15.43</v>
      </c>
    </row>
    <row r="11">
      <c r="B11" s="176" t="s">
        <v>151</v>
      </c>
      <c r="C11">
        <v>0.5</v>
      </c>
      <c r="D11" s="44">
        <v>15.43</v>
      </c>
      <c r="E11" s="22">
        <v>1.52</v>
      </c>
      <c r="F11">
        <v>15.43</v>
      </c>
    </row>
    <row r="12">
      <c r="B12" s="176" t="s">
        <v>152</v>
      </c>
      <c r="C12">
        <v>0.5</v>
      </c>
      <c r="D12" s="44">
        <v>15.43</v>
      </c>
      <c r="E12" s="22">
        <v>1.52</v>
      </c>
      <c r="F12">
        <v>15.43</v>
      </c>
    </row>
    <row r="13">
      <c r="B13" s="176" t="s">
        <v>153</v>
      </c>
      <c r="C13">
        <v>0.5</v>
      </c>
      <c r="D13" s="44">
        <v>15.43</v>
      </c>
      <c r="E13" s="22">
        <v>1.52</v>
      </c>
      <c r="F13">
        <v>15.43</v>
      </c>
    </row>
    <row r="14">
      <c r="B14" s="177" t="s">
        <v>154</v>
      </c>
      <c r="C14" s="178">
        <v>0.5</v>
      </c>
      <c r="D14" s="45">
        <v>15.43</v>
      </c>
      <c r="E14" s="178">
        <v>1.52</v>
      </c>
      <c r="F14" s="178">
        <v>15.43</v>
      </c>
    </row>
    <row r="15">
      <c r="B15" s="176" t="s">
        <v>155</v>
      </c>
      <c r="C15" s="179">
        <f>AVERAGE(C3:C14)</f>
        <v>2.1666666666666665</v>
      </c>
      <c r="D15" s="179">
        <f>AVERAGE(D3:D14)</f>
        <v>16.439166666666669</v>
      </c>
      <c r="E15" s="179">
        <f>AVERAGE(E3:E14)</f>
        <v>1.5199999999999998</v>
      </c>
      <c r="F15" s="179">
        <f>AVERAGE(F3:F14)</f>
        <v>15.540833333333337</v>
      </c>
    </row>
    <row r="18">
      <c r="B18" s="25" t="s">
        <v>17</v>
      </c>
      <c r="C18" s="26" t="s">
        <v>41</v>
      </c>
      <c r="D18" s="27" t="s">
        <v>18</v>
      </c>
      <c r="E18" s="5" t="s">
        <v>19</v>
      </c>
    </row>
    <row r="19">
      <c r="B19" s="28" t="s">
        <v>20</v>
      </c>
      <c r="C19" s="44">
        <v>0</v>
      </c>
      <c r="D19" s="37" t="s">
        <v>45</v>
      </c>
      <c r="E19" s="31" t="s">
        <v>79</v>
      </c>
    </row>
    <row r="20">
      <c r="B20" s="32" t="s">
        <v>22</v>
      </c>
      <c r="C20" s="137">
        <f>C15</f>
        <v>2.1666666666666665</v>
      </c>
      <c r="D20" s="37" t="s">
        <v>45</v>
      </c>
      <c r="E20" s="75" t="s">
        <v>156</v>
      </c>
    </row>
    <row r="21">
      <c r="B21" s="32" t="s">
        <v>24</v>
      </c>
      <c r="C21" s="44"/>
      <c r="D21" s="37"/>
      <c r="E21" s="35"/>
    </row>
    <row r="22">
      <c r="B22" s="32" t="s">
        <v>26</v>
      </c>
      <c r="C22" s="137">
        <f>F15</f>
        <v>15.540833333333337</v>
      </c>
      <c r="D22" s="37" t="s">
        <v>45</v>
      </c>
      <c r="E22" s="75" t="s">
        <v>157</v>
      </c>
    </row>
    <row r="23">
      <c r="B23" s="180" t="s">
        <v>28</v>
      </c>
      <c r="C23" s="44">
        <v>15</v>
      </c>
      <c r="D23" s="37" t="s">
        <v>45</v>
      </c>
      <c r="E23" s="75" t="s">
        <v>158</v>
      </c>
    </row>
    <row r="24">
      <c r="B24" s="181" t="s">
        <v>159</v>
      </c>
      <c r="C24" s="137">
        <f>E15</f>
        <v>1.5199999999999998</v>
      </c>
      <c r="D24" s="37" t="s">
        <v>45</v>
      </c>
      <c r="E24" s="35"/>
    </row>
    <row r="25">
      <c r="B25" s="181" t="s">
        <v>160</v>
      </c>
      <c r="C25" s="137">
        <f>D15</f>
        <v>16.439166666666669</v>
      </c>
      <c r="D25" s="37" t="s">
        <v>45</v>
      </c>
      <c r="E25" s="35"/>
    </row>
    <row r="26">
      <c r="B26" s="32" t="s">
        <v>31</v>
      </c>
      <c r="C26" s="44"/>
      <c r="D26" s="37"/>
      <c r="E26" s="35"/>
    </row>
    <row r="27">
      <c r="B27" s="39" t="s">
        <v>32</v>
      </c>
      <c r="C27" s="156"/>
      <c r="D27" s="41"/>
      <c r="E27" s="85"/>
    </row>
    <row r="31" ht="14.25">
      <c r="A31" s="1"/>
      <c r="B31" s="2" t="s">
        <v>81</v>
      </c>
      <c r="C31" s="2"/>
      <c r="D31" s="2"/>
      <c r="E31" s="2"/>
      <c r="F31" s="1"/>
      <c r="G31" s="1"/>
      <c r="H31" s="1"/>
      <c r="I31" s="1"/>
      <c r="J31" s="1"/>
      <c r="K31" s="1"/>
      <c r="L31" s="1"/>
      <c r="M31" s="1"/>
    </row>
    <row r="32" ht="14.25">
      <c r="A32" s="44"/>
      <c r="B32" s="45"/>
      <c r="C32" s="45"/>
      <c r="D32" s="45"/>
      <c r="E32" s="45"/>
      <c r="F32" s="44"/>
      <c r="G32" s="44"/>
      <c r="H32" s="44"/>
      <c r="I32" s="44"/>
      <c r="J32" s="44"/>
      <c r="K32" s="44"/>
      <c r="L32" s="44"/>
      <c r="M32" s="44"/>
    </row>
    <row r="33" ht="14.25">
      <c r="A33" s="34"/>
      <c r="B33" s="160" t="s">
        <v>82</v>
      </c>
      <c r="C33" s="161" t="s">
        <v>83</v>
      </c>
      <c r="D33" s="162" t="s">
        <v>48</v>
      </c>
      <c r="E33" s="163" t="s">
        <v>84</v>
      </c>
      <c r="F33" s="121" t="s">
        <v>84</v>
      </c>
      <c r="G33" s="122" t="s">
        <v>85</v>
      </c>
      <c r="H33" s="122" t="s">
        <v>86</v>
      </c>
      <c r="I33" s="123" t="s">
        <v>87</v>
      </c>
      <c r="J33" s="56" t="s">
        <v>48</v>
      </c>
      <c r="K33" s="44"/>
      <c r="L33" s="44"/>
      <c r="M33" s="44"/>
    </row>
    <row r="34" ht="14.25">
      <c r="A34" s="34"/>
      <c r="B34" s="164" t="s">
        <v>91</v>
      </c>
      <c r="C34" s="165" t="s">
        <v>92</v>
      </c>
      <c r="D34" s="166" t="b">
        <v>1</v>
      </c>
      <c r="E34" s="167" t="s">
        <v>93</v>
      </c>
      <c r="F34" s="135">
        <f>$C$27</f>
        <v>0</v>
      </c>
      <c r="G34" s="137"/>
      <c r="H34" s="137"/>
      <c r="I34" s="77"/>
      <c r="J34" s="136">
        <f>'EU-ETS'!$C$15/1000</f>
        <v>0.073430000000000009</v>
      </c>
      <c r="K34" s="44"/>
      <c r="L34" s="44"/>
      <c r="M34" s="44"/>
    </row>
    <row r="35" ht="14.25">
      <c r="A35" s="34"/>
      <c r="B35" s="131" t="s">
        <v>94</v>
      </c>
      <c r="C35" s="132" t="s">
        <v>92</v>
      </c>
      <c r="D35" s="133" t="b">
        <v>1</v>
      </c>
      <c r="E35" s="134" t="s">
        <v>95</v>
      </c>
      <c r="F35" s="135">
        <f>$C$26</f>
        <v>0</v>
      </c>
      <c r="G35" s="137"/>
      <c r="H35" s="137"/>
      <c r="I35" s="137"/>
      <c r="J35" s="136">
        <f>'EU-ETS'!$C$15/1000</f>
        <v>0.073430000000000009</v>
      </c>
      <c r="K35" s="44"/>
      <c r="L35" s="44"/>
      <c r="M35" s="44"/>
    </row>
    <row r="36" ht="14.25">
      <c r="A36" s="34"/>
      <c r="B36" s="131" t="s">
        <v>96</v>
      </c>
      <c r="C36" s="132" t="s">
        <v>92</v>
      </c>
      <c r="D36" s="133" t="b">
        <v>1</v>
      </c>
      <c r="E36" s="134" t="s">
        <v>97</v>
      </c>
      <c r="F36" s="135">
        <f>$C$23</f>
        <v>15</v>
      </c>
      <c r="G36" s="77"/>
      <c r="H36" s="137"/>
      <c r="I36" s="77"/>
      <c r="J36" s="35"/>
      <c r="K36" s="44"/>
      <c r="L36" s="44"/>
      <c r="M36" s="44"/>
    </row>
    <row r="37" ht="14.25">
      <c r="A37" s="34"/>
      <c r="B37" s="131" t="s">
        <v>98</v>
      </c>
      <c r="C37" s="132" t="s">
        <v>92</v>
      </c>
      <c r="D37" s="133" t="b">
        <v>1</v>
      </c>
      <c r="E37" s="134" t="s">
        <v>97</v>
      </c>
      <c r="F37" s="135">
        <f>$C$23</f>
        <v>15</v>
      </c>
      <c r="G37" s="77"/>
      <c r="H37" s="137"/>
      <c r="I37" s="77"/>
      <c r="J37" s="35"/>
      <c r="K37" s="44"/>
      <c r="L37" s="44"/>
      <c r="M37" s="44"/>
    </row>
    <row r="38" ht="14.25">
      <c r="A38" s="34"/>
      <c r="B38" s="131" t="s">
        <v>99</v>
      </c>
      <c r="C38" s="132" t="s">
        <v>92</v>
      </c>
      <c r="D38" s="133" t="b">
        <v>1</v>
      </c>
      <c r="E38" s="134" t="s">
        <v>97</v>
      </c>
      <c r="F38" s="135">
        <f>$C$23</f>
        <v>15</v>
      </c>
      <c r="G38" s="77"/>
      <c r="H38" s="137"/>
      <c r="I38" s="77"/>
      <c r="J38" s="35"/>
      <c r="K38" s="44"/>
      <c r="L38" s="44"/>
      <c r="M38" s="44"/>
    </row>
    <row r="39" ht="14.25">
      <c r="A39" s="34"/>
      <c r="B39" s="131" t="s">
        <v>100</v>
      </c>
      <c r="C39" s="132" t="s">
        <v>101</v>
      </c>
      <c r="D39" s="133" t="b">
        <v>1</v>
      </c>
      <c r="E39" s="134" t="s">
        <v>93</v>
      </c>
      <c r="F39" s="135">
        <f>$C$27</f>
        <v>0</v>
      </c>
      <c r="G39" s="137"/>
      <c r="H39" s="137"/>
      <c r="I39" s="137"/>
      <c r="J39" s="136">
        <f>'EU-ETS'!$C$15/1000</f>
        <v>0.073430000000000009</v>
      </c>
      <c r="K39" s="44"/>
      <c r="L39" s="44"/>
      <c r="M39" s="44"/>
    </row>
    <row r="40" ht="14.25">
      <c r="A40" s="34"/>
      <c r="B40" s="131" t="s">
        <v>102</v>
      </c>
      <c r="C40" s="132" t="s">
        <v>101</v>
      </c>
      <c r="D40" s="133" t="b">
        <v>1</v>
      </c>
      <c r="E40" s="134" t="s">
        <v>93</v>
      </c>
      <c r="F40" s="135">
        <f>$C$27</f>
        <v>0</v>
      </c>
      <c r="G40" s="137"/>
      <c r="H40" s="137"/>
      <c r="I40" s="137"/>
      <c r="J40" s="136">
        <f>'EU-ETS'!$C$15/1000</f>
        <v>0.073430000000000009</v>
      </c>
      <c r="K40" s="44"/>
      <c r="L40" s="44"/>
      <c r="M40" s="44"/>
    </row>
    <row r="41" ht="14.25">
      <c r="A41" s="34"/>
      <c r="B41" s="131" t="s">
        <v>103</v>
      </c>
      <c r="C41" s="132" t="s">
        <v>92</v>
      </c>
      <c r="D41" s="133" t="b">
        <v>1</v>
      </c>
      <c r="E41" s="134" t="s">
        <v>104</v>
      </c>
      <c r="F41" s="135">
        <f>$C$24</f>
        <v>1.5199999999999998</v>
      </c>
      <c r="G41" s="137"/>
      <c r="H41" s="137"/>
      <c r="I41" s="77"/>
      <c r="J41" s="136">
        <f>'EU-ETS'!$C$15/1000</f>
        <v>0.073430000000000009</v>
      </c>
      <c r="K41" s="44"/>
      <c r="L41" s="44"/>
      <c r="M41" s="44"/>
    </row>
    <row r="42" ht="14.25">
      <c r="A42" s="34"/>
      <c r="B42" s="131" t="s">
        <v>105</v>
      </c>
      <c r="C42" s="132" t="s">
        <v>92</v>
      </c>
      <c r="D42" s="133" t="b">
        <v>1</v>
      </c>
      <c r="E42" s="134" t="s">
        <v>104</v>
      </c>
      <c r="F42" s="135">
        <f>$C$24</f>
        <v>1.5199999999999998</v>
      </c>
      <c r="G42" s="137"/>
      <c r="H42" s="137"/>
      <c r="I42" s="137"/>
      <c r="J42" s="136">
        <f>'EU-ETS'!$C$15/1000</f>
        <v>0.073430000000000009</v>
      </c>
      <c r="K42" s="44"/>
      <c r="L42" s="44"/>
      <c r="M42" s="44"/>
    </row>
    <row r="43" ht="14.25">
      <c r="A43" s="34"/>
      <c r="B43" s="131" t="s">
        <v>106</v>
      </c>
      <c r="C43" s="132" t="s">
        <v>92</v>
      </c>
      <c r="D43" s="133" t="b">
        <v>1</v>
      </c>
      <c r="E43" s="134" t="s">
        <v>95</v>
      </c>
      <c r="F43" s="135">
        <f>$C$26</f>
        <v>0</v>
      </c>
      <c r="G43" s="137"/>
      <c r="H43" s="137"/>
      <c r="I43" s="137"/>
      <c r="J43" s="136">
        <f>'EU-ETS'!$C$15/1000</f>
        <v>0.073430000000000009</v>
      </c>
      <c r="K43" s="44"/>
      <c r="L43" s="44"/>
      <c r="M43" s="44"/>
    </row>
    <row r="44" ht="14.25">
      <c r="A44" s="34"/>
      <c r="B44" s="131" t="s">
        <v>107</v>
      </c>
      <c r="C44" s="132" t="s">
        <v>92</v>
      </c>
      <c r="D44" s="133" t="b">
        <v>1</v>
      </c>
      <c r="E44" s="134" t="s">
        <v>97</v>
      </c>
      <c r="F44" s="135">
        <f>$C$23</f>
        <v>15</v>
      </c>
      <c r="G44" s="77"/>
      <c r="H44" s="137"/>
      <c r="I44" s="77"/>
      <c r="J44" s="35"/>
      <c r="K44" s="44"/>
      <c r="L44" s="44"/>
      <c r="M44" s="44"/>
    </row>
    <row r="45" ht="14.25">
      <c r="A45" s="34"/>
      <c r="B45" s="131" t="s">
        <v>108</v>
      </c>
      <c r="C45" s="132" t="s">
        <v>92</v>
      </c>
      <c r="D45" s="133" t="b">
        <v>1</v>
      </c>
      <c r="E45" s="134" t="s">
        <v>97</v>
      </c>
      <c r="F45" s="135">
        <f>$C$23</f>
        <v>15</v>
      </c>
      <c r="G45" s="77"/>
      <c r="H45" s="137"/>
      <c r="I45" s="77"/>
      <c r="J45" s="35"/>
      <c r="K45" s="44"/>
      <c r="L45" s="44"/>
      <c r="M45" s="44"/>
    </row>
    <row r="46" ht="14.25">
      <c r="A46" s="34"/>
      <c r="B46" s="131" t="s">
        <v>109</v>
      </c>
      <c r="C46" s="133" t="s">
        <v>110</v>
      </c>
      <c r="D46" s="132" t="b">
        <v>0</v>
      </c>
      <c r="E46" s="134" t="s">
        <v>111</v>
      </c>
      <c r="F46" s="135">
        <f>$C$19</f>
        <v>0</v>
      </c>
      <c r="G46" s="137"/>
      <c r="H46" s="137"/>
      <c r="I46" s="77"/>
      <c r="J46" s="35"/>
      <c r="K46" s="44"/>
      <c r="L46" s="44"/>
      <c r="M46" s="44"/>
    </row>
    <row r="47" ht="14.25">
      <c r="A47" s="34"/>
      <c r="B47" s="131" t="s">
        <v>112</v>
      </c>
      <c r="C47" s="133" t="s">
        <v>110</v>
      </c>
      <c r="D47" s="132" t="b">
        <v>0</v>
      </c>
      <c r="E47" s="134" t="s">
        <v>113</v>
      </c>
      <c r="F47" s="135">
        <f>$C$20</f>
        <v>2.1666666666666665</v>
      </c>
      <c r="G47" s="137"/>
      <c r="H47" s="137"/>
      <c r="I47" s="77"/>
      <c r="J47" s="35"/>
      <c r="K47" s="44"/>
      <c r="L47" s="44"/>
      <c r="M47" s="44"/>
    </row>
    <row r="48" ht="14.25">
      <c r="A48" s="34"/>
      <c r="B48" s="131" t="s">
        <v>114</v>
      </c>
      <c r="C48" s="133" t="s">
        <v>110</v>
      </c>
      <c r="D48" s="133" t="b">
        <v>1</v>
      </c>
      <c r="E48" s="134" t="s">
        <v>115</v>
      </c>
      <c r="F48" s="135">
        <f>$C$22</f>
        <v>15.540833333333337</v>
      </c>
      <c r="G48" s="137"/>
      <c r="H48" s="137"/>
      <c r="I48" s="77"/>
      <c r="J48" s="136">
        <f>'EU-ETS'!$C$15/1000</f>
        <v>0.073430000000000009</v>
      </c>
      <c r="K48" s="44"/>
      <c r="L48" s="44"/>
      <c r="M48" s="44"/>
    </row>
    <row r="49" ht="14.25">
      <c r="A49" s="34"/>
      <c r="B49" s="131" t="s">
        <v>116</v>
      </c>
      <c r="C49" s="133" t="s">
        <v>110</v>
      </c>
      <c r="D49" s="132" t="b">
        <v>0</v>
      </c>
      <c r="E49" s="134" t="s">
        <v>115</v>
      </c>
      <c r="F49" s="135">
        <f>$C$22</f>
        <v>15.540833333333337</v>
      </c>
      <c r="G49" s="137"/>
      <c r="H49" s="137"/>
      <c r="I49" s="77"/>
      <c r="J49" s="35"/>
      <c r="K49" s="44"/>
      <c r="L49" s="44"/>
      <c r="M49" s="44"/>
    </row>
    <row r="50" ht="14.25">
      <c r="A50" s="34"/>
      <c r="B50" s="131" t="s">
        <v>117</v>
      </c>
      <c r="C50" s="133" t="s">
        <v>110</v>
      </c>
      <c r="D50" s="133" t="b">
        <v>1</v>
      </c>
      <c r="E50" s="134" t="s">
        <v>104</v>
      </c>
      <c r="F50" s="135">
        <f>$C$24</f>
        <v>1.5199999999999998</v>
      </c>
      <c r="G50" s="137"/>
      <c r="H50" s="137"/>
      <c r="I50" s="137"/>
      <c r="J50" s="136">
        <f>'EU-ETS'!$C$15/1000</f>
        <v>0.073430000000000009</v>
      </c>
      <c r="K50" s="44"/>
      <c r="L50" s="44"/>
      <c r="M50" s="44"/>
    </row>
    <row r="51" ht="14.25">
      <c r="A51" s="34"/>
      <c r="B51" s="131" t="s">
        <v>118</v>
      </c>
      <c r="C51" s="133" t="s">
        <v>110</v>
      </c>
      <c r="D51" s="132" t="b">
        <v>0</v>
      </c>
      <c r="E51" s="134" t="s">
        <v>104</v>
      </c>
      <c r="F51" s="135">
        <f>$C$25</f>
        <v>16.439166666666669</v>
      </c>
      <c r="G51" s="137"/>
      <c r="H51" s="137"/>
      <c r="I51" s="77"/>
      <c r="J51" s="35"/>
      <c r="K51" s="44"/>
      <c r="L51" s="44"/>
      <c r="M51" s="44"/>
    </row>
    <row r="52" ht="14.25">
      <c r="A52" s="34"/>
      <c r="B52" s="131" t="s">
        <v>119</v>
      </c>
      <c r="C52" s="133" t="s">
        <v>110</v>
      </c>
      <c r="D52" s="132" t="b">
        <v>0</v>
      </c>
      <c r="E52" s="134" t="s">
        <v>93</v>
      </c>
      <c r="F52" s="135">
        <f>$C$27</f>
        <v>0</v>
      </c>
      <c r="G52" s="137"/>
      <c r="H52" s="137"/>
      <c r="I52" s="77"/>
      <c r="J52" s="35"/>
      <c r="K52" s="44"/>
      <c r="L52" s="44"/>
      <c r="M52" s="44"/>
    </row>
    <row r="53" ht="14.25">
      <c r="A53" s="34"/>
      <c r="B53" s="131" t="s">
        <v>120</v>
      </c>
      <c r="C53" s="133" t="s">
        <v>110</v>
      </c>
      <c r="D53" s="132" t="b">
        <v>0</v>
      </c>
      <c r="E53" s="134" t="s">
        <v>113</v>
      </c>
      <c r="F53" s="135">
        <f>$C$20</f>
        <v>2.1666666666666665</v>
      </c>
      <c r="G53" s="137"/>
      <c r="H53" s="137"/>
      <c r="I53" s="77"/>
      <c r="J53" s="35"/>
      <c r="K53" s="44"/>
      <c r="L53" s="44"/>
      <c r="M53" s="44"/>
    </row>
    <row r="54" ht="14.25">
      <c r="A54" s="34"/>
      <c r="B54" s="131" t="s">
        <v>121</v>
      </c>
      <c r="C54" s="133" t="s">
        <v>110</v>
      </c>
      <c r="D54" s="132" t="b">
        <v>0</v>
      </c>
      <c r="E54" s="134" t="s">
        <v>113</v>
      </c>
      <c r="F54" s="135">
        <f>$C$20</f>
        <v>2.1666666666666665</v>
      </c>
      <c r="G54" s="137"/>
      <c r="H54" s="137"/>
      <c r="I54" s="77"/>
      <c r="J54" s="35"/>
      <c r="K54" s="44"/>
      <c r="L54" s="44"/>
      <c r="M54" s="44"/>
    </row>
    <row r="55" ht="14.25">
      <c r="A55" s="34"/>
      <c r="B55" s="131" t="s">
        <v>122</v>
      </c>
      <c r="C55" s="133" t="s">
        <v>110</v>
      </c>
      <c r="D55" s="132" t="b">
        <v>0</v>
      </c>
      <c r="E55" s="134" t="s">
        <v>123</v>
      </c>
      <c r="F55" s="135"/>
      <c r="G55" s="137"/>
      <c r="H55" s="137"/>
      <c r="I55" s="77"/>
      <c r="J55" s="35"/>
      <c r="K55" s="44"/>
      <c r="L55" s="44"/>
      <c r="M55" s="44"/>
    </row>
    <row r="56" ht="14.25">
      <c r="A56" s="34"/>
      <c r="B56" s="131" t="s">
        <v>124</v>
      </c>
      <c r="C56" s="138" t="s">
        <v>125</v>
      </c>
      <c r="D56" s="132" t="b">
        <v>0</v>
      </c>
      <c r="E56" s="134" t="s">
        <v>113</v>
      </c>
      <c r="F56" s="135">
        <f>$C$20</f>
        <v>2.1666666666666665</v>
      </c>
      <c r="G56" s="137"/>
      <c r="H56" s="137"/>
      <c r="I56" s="77"/>
      <c r="J56" s="35"/>
      <c r="K56" s="44"/>
      <c r="L56" s="44"/>
      <c r="M56" s="44"/>
    </row>
    <row r="57" ht="14.25">
      <c r="A57" s="34"/>
      <c r="B57" s="131" t="s">
        <v>126</v>
      </c>
      <c r="C57" s="138" t="s">
        <v>125</v>
      </c>
      <c r="D57" s="132" t="b">
        <v>0</v>
      </c>
      <c r="E57" s="134" t="s">
        <v>113</v>
      </c>
      <c r="F57" s="135">
        <f>$C$20</f>
        <v>2.1666666666666665</v>
      </c>
      <c r="G57" s="137"/>
      <c r="H57" s="137"/>
      <c r="I57" s="77"/>
      <c r="J57" s="35"/>
      <c r="K57" s="44"/>
      <c r="L57" s="44"/>
      <c r="M57" s="44"/>
    </row>
    <row r="58" ht="14.25">
      <c r="A58" s="34"/>
      <c r="B58" s="139" t="s">
        <v>127</v>
      </c>
      <c r="C58" s="140" t="s">
        <v>128</v>
      </c>
      <c r="D58" s="141" t="b">
        <v>0</v>
      </c>
      <c r="E58" s="142" t="s">
        <v>113</v>
      </c>
      <c r="F58" s="143">
        <f>$C$20</f>
        <v>2.1666666666666665</v>
      </c>
      <c r="G58" s="144"/>
      <c r="H58" s="144"/>
      <c r="I58" s="144"/>
      <c r="J58" s="85"/>
      <c r="K58" s="44"/>
      <c r="L58" s="44"/>
      <c r="M58" s="44"/>
    </row>
  </sheetData>
  <autoFilter ref="B33:I58"/>
  <mergeCells count="1">
    <mergeCell ref="B31:E3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6.78125"/>
    <col customWidth="1" min="3" max="9" width="15.7109375"/>
  </cols>
  <sheetData>
    <row r="3" ht="14.25">
      <c r="B3" s="182" t="s">
        <v>17</v>
      </c>
      <c r="C3" s="3" t="s">
        <v>161</v>
      </c>
      <c r="D3" s="5"/>
      <c r="E3" s="4" t="s">
        <v>162</v>
      </c>
      <c r="F3" s="4"/>
      <c r="G3" s="3" t="s">
        <v>163</v>
      </c>
      <c r="H3" s="5"/>
    </row>
    <row r="4" ht="14.25">
      <c r="B4" s="183"/>
      <c r="C4" s="184" t="s">
        <v>110</v>
      </c>
      <c r="D4" s="185" t="s">
        <v>164</v>
      </c>
      <c r="E4" s="186" t="s">
        <v>110</v>
      </c>
      <c r="F4" s="186" t="s">
        <v>164</v>
      </c>
      <c r="G4" s="184" t="s">
        <v>110</v>
      </c>
      <c r="H4" s="185" t="s">
        <v>164</v>
      </c>
    </row>
    <row r="5" ht="14.25">
      <c r="B5" s="28" t="s">
        <v>20</v>
      </c>
      <c r="C5" s="187" t="s">
        <v>165</v>
      </c>
      <c r="D5" s="188" t="s">
        <v>165</v>
      </c>
      <c r="E5" s="189" t="s">
        <v>165</v>
      </c>
      <c r="F5" s="189" t="s">
        <v>165</v>
      </c>
      <c r="G5" s="190" t="s">
        <v>165</v>
      </c>
      <c r="H5" s="191" t="s">
        <v>165</v>
      </c>
    </row>
    <row r="6" ht="14.25">
      <c r="B6" s="32" t="s">
        <v>22</v>
      </c>
      <c r="C6" s="192" t="s">
        <v>50</v>
      </c>
      <c r="D6" s="193" t="s">
        <v>50</v>
      </c>
      <c r="E6" s="194" t="s">
        <v>50</v>
      </c>
      <c r="F6" s="194" t="s">
        <v>50</v>
      </c>
      <c r="G6" s="192" t="s">
        <v>50</v>
      </c>
      <c r="H6" s="193" t="s">
        <v>50</v>
      </c>
    </row>
    <row r="7" ht="14.25">
      <c r="B7" s="32" t="s">
        <v>24</v>
      </c>
      <c r="C7" s="192" t="s">
        <v>50</v>
      </c>
      <c r="D7" s="193" t="s">
        <v>50</v>
      </c>
      <c r="E7" s="194" t="s">
        <v>50</v>
      </c>
      <c r="F7" s="194" t="s">
        <v>50</v>
      </c>
      <c r="G7" s="192" t="s">
        <v>50</v>
      </c>
      <c r="H7" s="193" t="s">
        <v>50</v>
      </c>
    </row>
    <row r="8" ht="14.25">
      <c r="B8" s="32" t="s">
        <v>26</v>
      </c>
      <c r="C8" s="195" t="s">
        <v>49</v>
      </c>
      <c r="D8" s="196" t="s">
        <v>49</v>
      </c>
      <c r="E8" s="197" t="s">
        <v>49</v>
      </c>
      <c r="F8" s="197" t="s">
        <v>49</v>
      </c>
      <c r="G8" s="195" t="s">
        <v>49</v>
      </c>
      <c r="H8" s="196" t="s">
        <v>49</v>
      </c>
    </row>
    <row r="9" ht="14.25">
      <c r="B9" s="180" t="s">
        <v>28</v>
      </c>
      <c r="C9" s="195" t="s">
        <v>49</v>
      </c>
      <c r="D9" s="196" t="s">
        <v>49</v>
      </c>
      <c r="E9" s="194" t="s">
        <v>50</v>
      </c>
      <c r="F9" s="194" t="s">
        <v>50</v>
      </c>
      <c r="G9" s="198" t="s">
        <v>166</v>
      </c>
      <c r="H9" s="199" t="s">
        <v>166</v>
      </c>
    </row>
    <row r="10" ht="14.25">
      <c r="B10" s="32" t="s">
        <v>30</v>
      </c>
      <c r="C10" s="195" t="s">
        <v>49</v>
      </c>
      <c r="D10" s="196" t="s">
        <v>49</v>
      </c>
      <c r="E10" s="197" t="s">
        <v>49</v>
      </c>
      <c r="F10" s="197" t="s">
        <v>49</v>
      </c>
      <c r="G10" s="195" t="s">
        <v>49</v>
      </c>
      <c r="H10" s="196" t="s">
        <v>49</v>
      </c>
    </row>
    <row r="11" ht="14.25">
      <c r="B11" s="32" t="s">
        <v>31</v>
      </c>
      <c r="C11" s="187" t="s">
        <v>165</v>
      </c>
      <c r="D11" s="188" t="s">
        <v>165</v>
      </c>
      <c r="E11" s="189" t="s">
        <v>165</v>
      </c>
      <c r="F11" s="189" t="s">
        <v>165</v>
      </c>
      <c r="G11" s="187" t="s">
        <v>165</v>
      </c>
      <c r="H11" s="188" t="s">
        <v>165</v>
      </c>
    </row>
    <row r="12" ht="14.25">
      <c r="B12" s="39" t="s">
        <v>32</v>
      </c>
      <c r="C12" s="200" t="s">
        <v>165</v>
      </c>
      <c r="D12" s="201" t="s">
        <v>165</v>
      </c>
      <c r="E12" s="202" t="s">
        <v>165</v>
      </c>
      <c r="F12" s="202" t="s">
        <v>165</v>
      </c>
      <c r="G12" s="200" t="s">
        <v>165</v>
      </c>
      <c r="H12" s="201" t="s">
        <v>165</v>
      </c>
    </row>
    <row r="15" ht="14.25">
      <c r="B15" t="s">
        <v>167</v>
      </c>
      <c r="C15">
        <f>73.43</f>
        <v>73.430000000000007</v>
      </c>
      <c r="D15" t="s">
        <v>168</v>
      </c>
    </row>
  </sheetData>
  <mergeCells count="4">
    <mergeCell ref="B3:B4"/>
    <mergeCell ref="C3:D3"/>
    <mergeCell ref="E3:F3"/>
    <mergeCell ref="G3:H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2026-04-29T16:19:30Z</dcterms:modified>
</cp:coreProperties>
</file>